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ventions" sheetId="1" state="visible" r:id="rId1"/>
    <sheet name="Inputs" sheetId="2" state="visible" r:id="rId2"/>
    <sheet name="Geometry" sheetId="3" state="visible" r:id="rId3"/>
    <sheet name="Loads" sheetId="4" state="visible" r:id="rId4"/>
    <sheet name="Statics" sheetId="5" state="visible" r:id="rId5"/>
    <sheet name="OutOfPlane" sheetId="6" state="visible" r:id="rId6"/>
    <sheet name="Results" sheetId="7" state="visible" r:id="rId7"/>
    <sheet name="Check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i val="1"/>
      <color rgb="00808080"/>
      <sz val="9"/>
    </font>
    <font>
      <b val="1"/>
    </font>
    <font>
      <i val="1"/>
      <color rgb="00595959"/>
    </font>
  </fonts>
  <fills count="7">
    <fill>
      <patternFill/>
    </fill>
    <fill>
      <patternFill patternType="gray125"/>
    </fill>
    <fill>
      <patternFill patternType="solid">
        <fgColor rgb="00FFF2CC"/>
      </patternFill>
    </fill>
    <fill>
      <patternFill patternType="solid">
        <fgColor rgb="00DDEBF7"/>
      </patternFill>
    </fill>
    <fill>
      <patternFill patternType="solid">
        <fgColor rgb="00EDEDED"/>
      </patternFill>
    </fill>
    <fill>
      <patternFill patternType="solid">
        <fgColor rgb="00FCE4E4"/>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3" fillId="0" borderId="0" pivotButton="0" quotePrefix="0" xfId="0"/>
    <xf numFmtId="0" fontId="4" fillId="6" borderId="0" pivotButton="0" quotePrefix="0" xfId="0"/>
    <xf numFmtId="0" fontId="5" fillId="0" borderId="0" pivotButton="0" quotePrefix="0" xfId="0"/>
    <xf numFmtId="0" fontId="4" fillId="0" borderId="0" pivotButton="0" quotePrefix="0" xfId="0"/>
  </cellXfs>
  <cellStyles count="1">
    <cellStyle name="Normal" xfId="0" builtinId="0" hidden="0"/>
  </cellStyles>
  <dxfs count="1">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40" customWidth="1" min="1" max="1"/>
    <col width="60" customWidth="1" min="2" max="2"/>
  </cols>
  <sheetData>
    <row r="1">
      <c r="A1" s="1" t="inlineStr">
        <is>
          <t>Conventions -- axes, angles and signs (copied from the app's code)</t>
        </is>
      </c>
    </row>
    <row r="2">
      <c r="A2" s="2" t="inlineStr">
        <is>
          <t>Input (type here)</t>
        </is>
      </c>
      <c r="B2" s="3" t="inlineStr">
        <is>
          <t>Formula (do not edit)</t>
        </is>
      </c>
      <c r="C2" s="4" t="inlineStr">
        <is>
          <t>Generator marker</t>
        </is>
      </c>
      <c r="D2" s="5" t="inlineStr">
        <is>
          <t>Guard row (keep blank)</t>
        </is>
      </c>
    </row>
    <row r="4">
      <c r="A4" s="6" t="inlineStr">
        <is>
          <t>Units</t>
        </is>
      </c>
    </row>
    <row r="5">
      <c r="A5" t="inlineStr">
        <is>
          <t>Lengths m, masses t, forces kN, moments kNm, angles deg (inputs), rad/s^2.</t>
        </is>
      </c>
    </row>
    <row r="6">
      <c r="A6" t="inlineStr">
        <is>
          <t>Weight = mass_t x |g| (kN, since t x m/s^2 = kN). Gravity is typed signed (-9.81) as authored; the calculation uses its magnitude.</t>
        </is>
      </c>
      <c r="B6" s="7" t="inlineStr">
        <is>
          <t>calculation/engine.py</t>
        </is>
      </c>
    </row>
    <row r="8">
      <c r="A8" s="6" t="inlineStr">
        <is>
          <t>Axes (crane frame)</t>
        </is>
      </c>
    </row>
    <row r="9">
      <c r="A9" t="inlineStr">
        <is>
          <t>x: horizontal in the boom plane, positive toward the boom tip (outreach).</t>
        </is>
      </c>
    </row>
    <row r="10">
      <c r="A10" t="inlineStr">
        <is>
          <t>z: up. y: lateral, completing a right-handed x-y-z frame.</t>
        </is>
      </c>
    </row>
    <row r="11">
      <c r="A11" t="inlineStr">
        <is>
          <t>The crane frame is the vessel frame (x forward, y port, z up) rotated about z by the crane slewing angle; a vessel-frame horizontal vector (vx, vy) is (cos s vx + sin s vy, -sin s vx + cos s vy) in the crane frame.</t>
        </is>
      </c>
      <c r="B11" s="7" t="inlineStr">
        <is>
          <t>calculation/vessel_frame.py _vessel_to_crane</t>
        </is>
      </c>
    </row>
    <row r="12">
      <c r="A12" t="inlineStr">
        <is>
          <t>In-plane moments are about +y with M = x Fz - z Fx (a load's moment about the origin as the solver accumulates it: ld_m += -z Fx + x Fz).</t>
        </is>
      </c>
      <c r="B12" s="7" t="inlineStr">
        <is>
          <t>calculation/solver/crane_solver.py</t>
        </is>
      </c>
    </row>
    <row r="14">
      <c r="A14" s="6" t="inlineStr">
        <is>
          <t>Boom angle and boom-local coordinates</t>
        </is>
      </c>
    </row>
    <row r="15">
      <c r="A15" t="inlineStr">
        <is>
          <t>Boom angle theta is measured at the boom heel from +x toward +z.</t>
        </is>
      </c>
    </row>
    <row r="16">
      <c r="A16" t="inlineStr">
        <is>
          <t>Boom-local u runs along the boom from the heel, w is normal to it (u rotated +90 deg toward +z), v is lateral (= y). Global position: x = x_heel + u cos theta - w sin theta, z = z_heel + u sin theta + w cos theta.</t>
        </is>
      </c>
      <c r="B16" s="7" t="inlineStr">
        <is>
          <t>calculation/solver/crane_solver.py rotate_boom_local_point</t>
        </is>
      </c>
    </row>
    <row r="17">
      <c r="A17" t="inlineStr">
        <is>
          <t>Only body 'boom' rows use boom-local coordinates; other bodies are global.</t>
        </is>
      </c>
      <c r="B17" s="7" t="inlineStr">
        <is>
          <t>scripts/excel_workbook/reference.py (name-based rule 5)</t>
        </is>
      </c>
    </row>
    <row r="18">
      <c r="A18" t="inlineStr">
        <is>
          <t>Hanging nodes hang straight down (-z) from their parent node: the scene hoist's hook by the tackle length, idle hooks by their hanging drop.</t>
        </is>
      </c>
      <c r="B18" s="7" t="inlineStr">
        <is>
          <t>calculation/rope_mass.py active_hook_positions</t>
        </is>
      </c>
    </row>
    <row r="20">
      <c r="A20" s="6" t="inlineStr">
        <is>
          <t>Vessel attitude and accelerations</t>
        </is>
      </c>
    </row>
    <row r="21">
      <c r="A21" t="inlineStr">
        <is>
          <t>Vessel pitch is positive bow-down, roll positive to starboard (intrinsic z-y-x). Gravity in the vessel frame: g (sin pitch, -sin roll cos pitch, -cos roll cos pitch) with g = |g|.</t>
        </is>
      </c>
      <c r="B21" s="7" t="inlineStr">
        <is>
          <t>calculation/vessel_frame.py gravity_in_vessel_frame</t>
        </is>
      </c>
    </row>
    <row r="22">
      <c r="A22" t="inlineStr">
        <is>
          <t>Load acceleration k = g_vessel - a (a = vessel accelerations ax, ay, az), rotated into the crane frame by the slewing angle; the equivalent crane-frame accelerations are ax' = -kx, ay' = -ky, az' = -|g| - kz.</t>
        </is>
      </c>
      <c r="B22" s="7" t="inlineStr">
        <is>
          <t>calculation/vessel_frame.py crane_frame_motion</t>
        </is>
      </c>
    </row>
    <row r="23">
      <c r="A23" t="inlineStr">
        <is>
          <t>Pitch and roll angular accelerations are rotated into the crane frame the same way: (roll', pitch') = rotate(roll, pitch).</t>
        </is>
      </c>
      <c r="B23" s="7" t="inlineStr">
        <is>
          <t>calculation/vessel_frame.py crane_frame_motion</t>
        </is>
      </c>
    </row>
    <row r="24">
      <c r="A24" t="inlineStr">
        <is>
          <t>Mass load (inertia + weight), with dx = x - x_ref, dz = z - z_ref (vessel motion reference): Fx = -m (ax' + pitch' dz), Fz = -m (|g| + az' - pitch' dx), Fy = -m (ay' - roll' dz). Pitch acceleration is right-handed about +y, roll acceleration right-handed about +x.</t>
        </is>
      </c>
      <c r="B24" s="7" t="inlineStr">
        <is>
          <t>calculation/solver/crane_solver.py inertia_force; calculation/engine.py</t>
        </is>
      </c>
    </row>
    <row r="26">
      <c r="A26" s="6" t="inlineStr">
        <is>
          <t>Wind</t>
        </is>
      </c>
    </row>
    <row r="27">
      <c r="A27" t="inlineStr">
        <is>
          <t>Direction +X, -X, +Y or -Y is the direction the wind blows toward: +X wind pushes in +x. Any other text is treated as +X by the app (flagged on Checks).</t>
        </is>
      </c>
      <c r="B27" s="7" t="inlineStr">
        <is>
          <t>calculation/engine.py split_wind_speed_components</t>
        </is>
      </c>
    </row>
    <row r="28">
      <c r="A28" t="inlineStr">
        <is>
          <t>Force = sign x 0.5 rho Cd A V^2 / 1000 (kN). X wind uses 'Area for X wind', Y wind uses 'Area for Y wind'. X wind: areas of body 'boom' are scaled by |sin theta|; Y wind: boom-local areas are (the in-plane solver and the out-of-plane pass test this differently; identical when boom areas are boom-local).</t>
        </is>
      </c>
      <c r="B28" s="7" t="inlineStr">
        <is>
          <t>calculation/solver/crane_solver.py _wind_fx; calculation/engine.py</t>
        </is>
      </c>
    </row>
    <row r="30">
      <c r="A30" s="6" t="inlineStr">
        <is>
          <t>Hook load, offlead and sidelead</t>
        </is>
      </c>
    </row>
    <row r="31">
      <c r="A31" t="inlineStr">
        <is>
          <t>Hook load (kN) acts at the hook node in -z. Offlead adds sin(offlead) x hook load in +x at the node the hook hangs from (its parent node; the hook itself if it has none); sidelead adds sin(sidelead) x hook load in +y at the scene hoist's support node (its hook node if the support is missing).</t>
        </is>
      </c>
      <c r="B31" s="7" t="inlineStr">
        <is>
          <t>calculation/solver/crane_solver.py _accumulate_loads; core/drawn_loads.py hook_load; calculation/engine.py; core/lead_channels.py</t>
        </is>
      </c>
    </row>
    <row r="33">
      <c r="A33" s="6" t="inlineStr">
        <is>
          <t>Ropes</t>
        </is>
      </c>
    </row>
    <row r="34">
      <c r="A34" t="inlineStr">
        <is>
          <t>Role 'solve' marks the boom-hoist rope: its tension is an unknown of the boom solve (the app's rope with tension_mode 'solve', published as 'boom_hoist'). Exactly one active solve rope is required; without one the app shows no results.</t>
        </is>
      </c>
      <c r="B34" s="7" t="inlineStr">
        <is>
          <t>calculation/solver/crane_solver.py</t>
        </is>
      </c>
    </row>
    <row r="35">
      <c r="A35" t="inlineStr">
        <is>
          <t>Role 'fixed': the scene hoist's rope carries hook load / parts at the hook; an idle hoist's rope carries hook mass x (|g| + az') / parts.</t>
        </is>
      </c>
      <c r="B35" s="7" t="inlineStr">
        <is>
          <t>calculation/solver/crane_solver.py</t>
        </is>
      </c>
    </row>
    <row r="36">
      <c r="A36" t="inlineStr">
        <is>
          <t>Rope self-weight: each segment's length x parts x linear mass is split half to each end node; the rest of the hoist's total rope length (spooled) sits at its spool node (the 'Spool node' flag replaces the app's rule 'node id contains winch'). The hoist row's linear mass is the one used.</t>
        </is>
      </c>
      <c r="B36" s="7" t="inlineStr">
        <is>
          <t>calculation/rope_mass.py rope_mass_at_nodes</t>
        </is>
      </c>
    </row>
    <row r="37">
      <c r="A37" t="inlineStr">
        <is>
          <t>Split-block mode is not supported by this workbook.</t>
        </is>
      </c>
    </row>
    <row r="39">
      <c r="A39" s="6" t="inlineStr">
        <is>
          <t>Reaction signs (as the app reports them)</t>
        </is>
      </c>
    </row>
    <row r="40">
      <c r="A40" t="inlineStr">
        <is>
          <t>Fx, Fz and My of every support (heel point, hinges, platform base) are support reactions opposing the applied loads: weight gives positive Fz; a +X vessel acceleration gives positive Fx.</t>
        </is>
      </c>
      <c r="B40" s="7" t="inlineStr">
        <is>
          <t>scripts/excel_workbook/reference.py</t>
        </is>
      </c>
    </row>
    <row r="41">
      <c r="A41" t="inlineStr">
        <is>
          <t>Possible app sign bug, replicated: platform base Fy and Mx carry the sign of the applied loads, not of the reaction (a +Y wind gives positive Fy, and Mx = -z Fy).</t>
        </is>
      </c>
      <c r="B41" s="7" t="inlineStr">
        <is>
          <t>scripts/excel_workbook/reference.py</t>
        </is>
      </c>
    </row>
    <row r="42">
      <c r="A42" t="inlineStr">
        <is>
          <t>Possible app sign bug, replicated: heel_left behaves as the -Y side. heel_left = 0.5 total + M / boom width, heel_right = 0.5 total - M / boom width (Fz uses Mx, Fx uses Mz), with M the applied-load moment about the heel: Mx = y Fz - z Fy, Mz = x_rel Fy - y Fx. A mass at +Y loads heel_right. The heel moments include every mass and wind area of the crane.</t>
        </is>
      </c>
      <c r="B42" s="7" t="inlineStr">
        <is>
          <t>scripts/excel_workbook/reference.py; calculation/engine.py</t>
        </is>
      </c>
    </row>
    <row r="43">
      <c r="A43" t="inlineStr">
        <is>
          <t>Pinned connections (heel, hinges) carry no moment.</t>
        </is>
      </c>
    </row>
    <row r="45">
      <c r="A45" s="6" t="inlineStr">
        <is>
          <t>Out-of-plane pass</t>
        </is>
      </c>
    </row>
    <row r="46">
      <c r="A46" t="inlineStr">
        <is>
          <t>Y loads are not part of the in-plane solve. Moments of the applied loads are taken about the support-group origins boom_heel (heel), front_base, rear_base and platform_heel (platform base): Mx = y Fz - (z - oz) Fy, Mz = (x - ox) Fy - y Fx. Rope self-weight and idle hook blocks sit at y = 0; wind and the side force at y = 0.</t>
        </is>
      </c>
      <c r="B46" s="7" t="inlineStr">
        <is>
          <t>calculation/engine.py _out_of_plane_variants</t>
        </is>
      </c>
    </row>
    <row r="47">
      <c r="A47" t="inlineStr">
        <is>
          <t>The side force acts at the support node's kinematic position (before the tackle moves the hook).</t>
        </is>
      </c>
      <c r="B47" s="7" t="inlineStr">
        <is>
          <t>calculation/engine.py _out_of_plane_geometry</t>
        </is>
      </c>
    </row>
    <row r="49">
      <c r="A49" s="6" t="inlineStr">
        <is>
          <t>Statics</t>
        </is>
      </c>
    </row>
    <row r="50">
      <c r="A50" t="inlineStr">
        <is>
          <t>Unknowns are the forces the supports exert on the body solved for: (Hx, Hz) of the heel on the boom, R_rb and R_fb of the leg bases on the legs, R_top of the top joint on the front leg (the rear leg gets -R_top). Moment equations are about the origin (M = x Fz - z Fx). The platform resultant is (r_g_x, r_g_z, m_g) = -(platform loads - the boom and leg reactions).</t>
        </is>
      </c>
      <c r="B50" s="7" t="inlineStr">
        <is>
          <t>calculation/solver/crane_solver.py _run_statics, _reactions_from_raw</t>
        </is>
      </c>
    </row>
    <row r="51">
      <c r="A51" t="inlineStr">
        <is>
          <t>A system counts as singular when |det A| &lt;= 1e-12 x the product of its row norms or MINVERSE fails (the app: np.linalg.solve raising, exactly singular only). Results then show the reason instead of numbers.</t>
        </is>
      </c>
      <c r="B51" s="7" t="inlineStr">
        <is>
          <t>calculation/solver/crane_solver.py _run_statics</t>
        </is>
      </c>
    </row>
    <row r="53">
      <c r="A53" s="6" t="inlineStr">
        <is>
          <t>Tables</t>
        </is>
      </c>
    </row>
    <row r="54">
      <c r="A54" t="inlineStr">
        <is>
          <t>Every table has a fixed number of rows with an Active column (1 = in use, 0 = spare). Spare rows keep Active = 0 and every other cell blank; they change no result. Keep each table's red guard row blank; rows that do not fit are counted on Checks.</t>
        </is>
      </c>
    </row>
    <row r="55">
      <c r="A55" t="inlineStr">
        <is>
          <t>Ids are matched case-insensitively by Excel and must not contain * ? ~.</t>
        </is>
      </c>
    </row>
    <row r="56">
      <c r="A56" t="inlineStr">
        <is>
          <t>The nine fixed node ids (boom_heel, platform_heel, rear_top, front_top, rear_base, platform_rear, front_base, platform_front, platform_base) take their x/z from the structure points by formula.</t>
        </is>
      </c>
      <c r="B56" s="7" t="inlineStr">
        <is>
          <t>data/models.py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3"/>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Inputs -- the expanded crane model and the scene state</t>
        </is>
      </c>
    </row>
    <row r="2">
      <c r="A2" s="2" t="inlineStr">
        <is>
          <t>Input (type here)</t>
        </is>
      </c>
      <c r="B2" s="3" t="inlineStr">
        <is>
          <t>Formula (do not edit)</t>
        </is>
      </c>
      <c r="C2" s="4" t="inlineStr">
        <is>
          <t>Generator marker</t>
        </is>
      </c>
      <c r="D2" s="5" t="inlineStr">
        <is>
          <t>Guard row (keep blank)</t>
        </is>
      </c>
    </row>
    <row r="4">
      <c r="A4" s="6" t="inlineStr">
        <is>
          <t>Environment</t>
        </is>
      </c>
    </row>
    <row r="5">
      <c r="A5" t="inlineStr">
        <is>
          <t>Gravity (signed, as authored)</t>
        </is>
      </c>
      <c r="B5" s="2" t="n">
        <v>-9.81</v>
      </c>
      <c r="C5" t="inlineStr">
        <is>
          <t>m/s^2</t>
        </is>
      </c>
      <c r="D5" s="7" t="inlineStr">
        <is>
          <t>gravity_m_s2  -- |g| is used</t>
        </is>
      </c>
    </row>
    <row r="6">
      <c r="A6" t="inlineStr">
        <is>
          <t>Air density</t>
        </is>
      </c>
      <c r="B6" s="2" t="n">
        <v>1.225</v>
      </c>
      <c r="C6" t="inlineStr">
        <is>
          <t>kg/m^3</t>
        </is>
      </c>
      <c r="D6" s="7" t="inlineStr">
        <is>
          <t>air_density_kg_m3</t>
        </is>
      </c>
    </row>
    <row r="7">
      <c r="A7" t="inlineStr">
        <is>
          <t>Max wind speed (document)</t>
        </is>
      </c>
      <c r="B7" s="2" t="n">
        <v>15.1</v>
      </c>
      <c r="C7" t="inlineStr">
        <is>
          <t>m/s</t>
        </is>
      </c>
      <c r="D7" s="7" t="inlineStr">
        <is>
          <t>max_wind_speed_m_s  -- information only; the scene wind speed is below</t>
        </is>
      </c>
    </row>
    <row r="8">
      <c r="A8" t="inlineStr">
        <is>
          <t>Vessel motion reference x</t>
        </is>
      </c>
      <c r="B8" s="2" t="n">
        <v>0</v>
      </c>
      <c r="C8" t="inlineStr">
        <is>
          <t>m</t>
        </is>
      </c>
      <c r="D8" s="7" t="inlineStr">
        <is>
          <t>reference_x_m  -- pitch/roll lever-arm origin</t>
        </is>
      </c>
    </row>
    <row r="9">
      <c r="A9" t="inlineStr">
        <is>
          <t>Vessel motion reference z</t>
        </is>
      </c>
      <c r="B9" s="2" t="n">
        <v>0</v>
      </c>
      <c r="C9" t="inlineStr">
        <is>
          <t>m</t>
        </is>
      </c>
      <c r="D9" s="7" t="inlineStr">
        <is>
          <t>reference_z_m  -- pitch/roll lever-arm origin</t>
        </is>
      </c>
    </row>
    <row r="11">
      <c r="A11" s="6" t="inlineStr">
        <is>
          <t>Structure points and widths</t>
        </is>
      </c>
    </row>
    <row r="12">
      <c r="A12" t="inlineStr">
        <is>
          <t>Boom width (heel left/right spacing)</t>
        </is>
      </c>
      <c r="B12" s="2" t="n">
        <v>19.1</v>
      </c>
      <c r="C12" t="inlineStr">
        <is>
          <t>m</t>
        </is>
      </c>
      <c r="D12" s="7" t="inlineStr">
        <is>
          <t>boom_width_m</t>
        </is>
      </c>
    </row>
    <row r="13">
      <c r="A13" t="inlineStr">
        <is>
          <t>Slewing bearing diameter</t>
        </is>
      </c>
      <c r="B13" s="2" t="n">
        <v>23</v>
      </c>
      <c r="C13" t="inlineStr">
        <is>
          <t>m</t>
        </is>
      </c>
      <c r="D13" s="7" t="inlineStr">
        <is>
          <t>slewing_bearing_diameter_m  -- optional; only bearing line loads use it</t>
        </is>
      </c>
    </row>
    <row r="14">
      <c r="A14" t="inlineStr">
        <is>
          <t>Boom heel x</t>
        </is>
      </c>
      <c r="B14" s="2" t="n">
        <v>8.5</v>
      </c>
      <c r="C14" t="inlineStr">
        <is>
          <t>m</t>
        </is>
      </c>
      <c r="D14" s="7" t="inlineStr">
        <is>
          <t>boom_heel_x_m  -- node boom_heel (also platform_heel)</t>
        </is>
      </c>
    </row>
    <row r="15">
      <c r="A15" t="inlineStr">
        <is>
          <t>Boom heel z</t>
        </is>
      </c>
      <c r="B15" s="2" t="n">
        <v>8</v>
      </c>
      <c r="C15" t="inlineStr">
        <is>
          <t>m</t>
        </is>
      </c>
      <c r="D15" s="7" t="inlineStr">
        <is>
          <t>boom_heel_z_m  -- node boom_heel (also platform_heel)</t>
        </is>
      </c>
    </row>
    <row r="16">
      <c r="A16" t="inlineStr">
        <is>
          <t>Upper hinge x</t>
        </is>
      </c>
      <c r="B16" s="2" t="n">
        <v>-11</v>
      </c>
      <c r="C16" t="inlineStr">
        <is>
          <t>m</t>
        </is>
      </c>
      <c r="D16" s="7" t="inlineStr">
        <is>
          <t>upper_hinge_x_m  -- node rear_top (also front_top)</t>
        </is>
      </c>
    </row>
    <row r="17">
      <c r="A17" t="inlineStr">
        <is>
          <t>Upper hinge z</t>
        </is>
      </c>
      <c r="B17" s="2" t="n">
        <v>52.3</v>
      </c>
      <c r="C17" t="inlineStr">
        <is>
          <t>m</t>
        </is>
      </c>
      <c r="D17" s="7" t="inlineStr">
        <is>
          <t>upper_hinge_z_m  -- node rear_top (also front_top)</t>
        </is>
      </c>
    </row>
    <row r="18">
      <c r="A18" t="inlineStr">
        <is>
          <t>Rear hinge x</t>
        </is>
      </c>
      <c r="B18" s="2" t="n">
        <v>-11</v>
      </c>
      <c r="C18" t="inlineStr">
        <is>
          <t>m</t>
        </is>
      </c>
      <c r="D18" s="7" t="inlineStr">
        <is>
          <t>rear_hinge_x_m  -- node rear_base (also platform_rear)</t>
        </is>
      </c>
    </row>
    <row r="19">
      <c r="A19" t="inlineStr">
        <is>
          <t>Rear hinge z</t>
        </is>
      </c>
      <c r="B19" s="2" t="n">
        <v>7.7</v>
      </c>
      <c r="C19" t="inlineStr">
        <is>
          <t>m</t>
        </is>
      </c>
      <c r="D19" s="7" t="inlineStr">
        <is>
          <t>rear_hinge_z_m  -- node rear_base (also platform_rear)</t>
        </is>
      </c>
    </row>
    <row r="20">
      <c r="A20" t="inlineStr">
        <is>
          <t>Front hinge x</t>
        </is>
      </c>
      <c r="B20" s="2" t="n">
        <v>6.87</v>
      </c>
      <c r="C20" t="inlineStr">
        <is>
          <t>m</t>
        </is>
      </c>
      <c r="D20" s="7" t="inlineStr">
        <is>
          <t>front_hinge_x_m  -- node front_base (also platform_front)</t>
        </is>
      </c>
    </row>
    <row r="21">
      <c r="A21" t="inlineStr">
        <is>
          <t>Front hinge z</t>
        </is>
      </c>
      <c r="B21" s="2" t="n">
        <v>7.7</v>
      </c>
      <c r="C21" t="inlineStr">
        <is>
          <t>m</t>
        </is>
      </c>
      <c r="D21" s="7" t="inlineStr">
        <is>
          <t>front_hinge_z_m  -- node front_base (also platform_front)</t>
        </is>
      </c>
    </row>
    <row r="22">
      <c r="A22" t="inlineStr">
        <is>
          <t>Platform base x</t>
        </is>
      </c>
      <c r="B22" s="2" t="n">
        <v>0</v>
      </c>
      <c r="C22" t="inlineStr">
        <is>
          <t>m</t>
        </is>
      </c>
      <c r="D22" s="7" t="inlineStr">
        <is>
          <t>platform_base_x_m  -- node platform_base</t>
        </is>
      </c>
    </row>
    <row r="23">
      <c r="A23" t="inlineStr">
        <is>
          <t>Platform base z</t>
        </is>
      </c>
      <c r="B23" s="2" t="n">
        <v>0</v>
      </c>
      <c r="C23" t="inlineStr">
        <is>
          <t>m</t>
        </is>
      </c>
      <c r="D23" s="7" t="inlineStr">
        <is>
          <t>platform_base_z_m  -- node platform_base</t>
        </is>
      </c>
    </row>
    <row r="25">
      <c r="A25" s="6" t="inlineStr">
        <is>
          <t>Scene state (one operating point)</t>
        </is>
      </c>
    </row>
    <row r="26">
      <c r="A26" t="inlineStr">
        <is>
          <t>Hook-loaded hoist id</t>
        </is>
      </c>
      <c r="B26" s="2" t="inlineStr">
        <is>
          <t>MH</t>
        </is>
      </c>
      <c r="D26" s="7" t="inlineStr">
        <is>
          <t>hoist_id  -- a hoist with a fixed rope</t>
        </is>
      </c>
    </row>
    <row r="27">
      <c r="A27" t="inlineStr">
        <is>
          <t>Boom angle</t>
        </is>
      </c>
      <c r="B27" s="2" t="n">
        <v>60</v>
      </c>
      <c r="C27" t="inlineStr">
        <is>
          <t>deg</t>
        </is>
      </c>
      <c r="D27" s="7" t="inlineStr">
        <is>
          <t>boom_angle_deg  -- from +x toward +z</t>
        </is>
      </c>
    </row>
    <row r="28">
      <c r="A28" t="inlineStr">
        <is>
          <t>Hook load (payload + hook block) x DAF x g</t>
        </is>
      </c>
      <c r="B28" s="2" t="n">
        <v>6500</v>
      </c>
      <c r="C28" t="inlineStr">
        <is>
          <t>kN</t>
        </is>
      </c>
      <c r="D28" s="7" t="inlineStr">
        <is>
          <t>hook_load_kN</t>
        </is>
      </c>
    </row>
    <row r="29">
      <c r="A29" t="inlineStr">
        <is>
          <t>Tackle length (support sheave to hook)</t>
        </is>
      </c>
      <c r="B29" s="2" t="n">
        <v>40</v>
      </c>
      <c r="C29" t="inlineStr">
        <is>
          <t>m</t>
        </is>
      </c>
      <c r="D29" s="7" t="inlineStr">
        <is>
          <t>tackle_length_m</t>
        </is>
      </c>
    </row>
    <row r="30">
      <c r="A30" t="inlineStr">
        <is>
          <t>Offlead</t>
        </is>
      </c>
      <c r="B30" s="2" t="n">
        <v>0</v>
      </c>
      <c r="C30" t="inlineStr">
        <is>
          <t>deg</t>
        </is>
      </c>
      <c r="D30" s="7" t="inlineStr">
        <is>
          <t>offlead_deg</t>
        </is>
      </c>
    </row>
    <row r="31">
      <c r="A31" t="inlineStr">
        <is>
          <t>Sidelead</t>
        </is>
      </c>
      <c r="B31" s="2" t="n">
        <v>0</v>
      </c>
      <c r="C31" t="inlineStr">
        <is>
          <t>deg</t>
        </is>
      </c>
      <c r="D31" s="7" t="inlineStr">
        <is>
          <t>sidelead_deg</t>
        </is>
      </c>
    </row>
    <row r="32">
      <c r="A32" t="inlineStr">
        <is>
          <t>Wind speed</t>
        </is>
      </c>
      <c r="B32" s="2" t="n">
        <v>0</v>
      </c>
      <c r="C32" t="inlineStr">
        <is>
          <t>m/s</t>
        </is>
      </c>
      <c r="D32" s="7" t="inlineStr">
        <is>
          <t>wind_speed_m_s</t>
        </is>
      </c>
    </row>
    <row r="33">
      <c r="A33" t="inlineStr">
        <is>
          <t>Wind direction</t>
        </is>
      </c>
      <c r="B33" s="2" t="inlineStr">
        <is>
          <t>+X</t>
        </is>
      </c>
      <c r="D33" s="7" t="inlineStr">
        <is>
          <t>wind_direction</t>
        </is>
      </c>
    </row>
    <row r="34">
      <c r="A34" t="inlineStr">
        <is>
          <t>Vessel acceleration ax</t>
        </is>
      </c>
      <c r="B34" s="2" t="n">
        <v>0</v>
      </c>
      <c r="C34" t="inlineStr">
        <is>
          <t>m/s^2</t>
        </is>
      </c>
      <c r="D34" s="7" t="inlineStr">
        <is>
          <t>accel_x_m_s2</t>
        </is>
      </c>
    </row>
    <row r="35">
      <c r="A35" t="inlineStr">
        <is>
          <t>Vessel acceleration ay</t>
        </is>
      </c>
      <c r="B35" s="2" t="n">
        <v>0</v>
      </c>
      <c r="C35" t="inlineStr">
        <is>
          <t>m/s^2</t>
        </is>
      </c>
      <c r="D35" s="7" t="inlineStr">
        <is>
          <t>accel_y_m_s2</t>
        </is>
      </c>
    </row>
    <row r="36">
      <c r="A36" t="inlineStr">
        <is>
          <t>Vessel acceleration az</t>
        </is>
      </c>
      <c r="B36" s="2" t="n">
        <v>0</v>
      </c>
      <c r="C36" t="inlineStr">
        <is>
          <t>m/s^2</t>
        </is>
      </c>
      <c r="D36" s="7" t="inlineStr">
        <is>
          <t>accel_z_m_s2</t>
        </is>
      </c>
    </row>
    <row r="37">
      <c r="A37" t="inlineStr">
        <is>
          <t>Pitch angular acceleration</t>
        </is>
      </c>
      <c r="B37" s="2" t="n">
        <v>0</v>
      </c>
      <c r="C37" t="inlineStr">
        <is>
          <t>rad/s^2</t>
        </is>
      </c>
      <c r="D37" s="7" t="inlineStr">
        <is>
          <t>pitch_accel_rad_s2</t>
        </is>
      </c>
    </row>
    <row r="38">
      <c r="A38" t="inlineStr">
        <is>
          <t>Roll angular acceleration</t>
        </is>
      </c>
      <c r="B38" s="2" t="n">
        <v>0</v>
      </c>
      <c r="C38" t="inlineStr">
        <is>
          <t>rad/s^2</t>
        </is>
      </c>
      <c r="D38" s="7" t="inlineStr">
        <is>
          <t>roll_accel_rad_s2</t>
        </is>
      </c>
    </row>
    <row r="39">
      <c r="A39" t="inlineStr">
        <is>
          <t>Vessel roll</t>
        </is>
      </c>
      <c r="B39" s="2" t="n">
        <v>0</v>
      </c>
      <c r="C39" t="inlineStr">
        <is>
          <t>deg</t>
        </is>
      </c>
      <c r="D39" s="7" t="inlineStr">
        <is>
          <t>vessel_roll_deg  -- positive to starboard</t>
        </is>
      </c>
    </row>
    <row r="40">
      <c r="A40" t="inlineStr">
        <is>
          <t>Vessel pitch</t>
        </is>
      </c>
      <c r="B40" s="2" t="n">
        <v>0</v>
      </c>
      <c r="C40" t="inlineStr">
        <is>
          <t>deg</t>
        </is>
      </c>
      <c r="D40" s="7" t="inlineStr">
        <is>
          <t>vessel_pitch_deg  -- positive bow-down</t>
        </is>
      </c>
    </row>
    <row r="41">
      <c r="A41" t="inlineStr">
        <is>
          <t>Crane slewing angle</t>
        </is>
      </c>
      <c r="B41" s="2" t="n">
        <v>0</v>
      </c>
      <c r="C41" t="inlineStr">
        <is>
          <t>deg</t>
        </is>
      </c>
      <c r="D41" s="7" t="inlineStr">
        <is>
          <t>crane_slewing_angle_deg</t>
        </is>
      </c>
    </row>
    <row r="43">
      <c r="A43" s="6" t="inlineStr">
        <is>
          <t>Mass points (all bodies)</t>
        </is>
      </c>
      <c r="D43" t="inlineStr">
        <is>
          <t>Capacity</t>
        </is>
      </c>
      <c r="E43" s="4" t="n">
        <v>40</v>
      </c>
      <c r="F43" t="inlineStr">
        <is>
          <t>Rows not written (overflow)</t>
        </is>
      </c>
      <c r="G43" s="4" t="n">
        <v>0</v>
      </c>
    </row>
    <row r="44">
      <c r="A44" s="8" t="inlineStr">
        <is>
          <t>Active [1/0]</t>
        </is>
      </c>
      <c r="B44" s="8" t="inlineStr">
        <is>
          <t>Id</t>
        </is>
      </c>
      <c r="C44" s="8" t="inlineStr">
        <is>
          <t>Body</t>
        </is>
      </c>
      <c r="D44" s="8" t="inlineStr">
        <is>
          <t>Frame</t>
        </is>
      </c>
      <c r="E44" s="8" t="inlineStr">
        <is>
          <t>Mass [t]</t>
        </is>
      </c>
      <c r="F44" s="8" t="inlineStr">
        <is>
          <t>u (along boom) [m]</t>
        </is>
      </c>
      <c r="G44" s="8" t="inlineStr">
        <is>
          <t>v (lateral) [m]</t>
        </is>
      </c>
      <c r="H44" s="8" t="inlineStr">
        <is>
          <t>w (boom normal) [m]</t>
        </is>
      </c>
      <c r="I44" s="8" t="inlineStr">
        <is>
          <t>x [m]</t>
        </is>
      </c>
      <c r="J44" s="8" t="inlineStr">
        <is>
          <t>y [m]</t>
        </is>
      </c>
      <c r="K44" s="8" t="inlineStr">
        <is>
          <t>z [m]</t>
        </is>
      </c>
    </row>
    <row r="45">
      <c r="A45" s="7" t="inlineStr">
        <is>
          <t>active (1 = row in use, 0 = spare)</t>
        </is>
      </c>
      <c r="B45" s="7" t="inlineStr">
        <is>
          <t>id</t>
        </is>
      </c>
      <c r="C45" s="7" t="inlineStr">
        <is>
          <t>body</t>
        </is>
      </c>
      <c r="D45" s="7" t="inlineStr">
        <is>
          <t>frame (boom_local uses u/v/w)</t>
        </is>
      </c>
      <c r="E45" s="7" t="inlineStr">
        <is>
          <t>mass_t</t>
        </is>
      </c>
      <c r="F45" s="7" t="inlineStr">
        <is>
          <t>u_m</t>
        </is>
      </c>
      <c r="G45" s="7" t="inlineStr">
        <is>
          <t>v_m</t>
        </is>
      </c>
      <c r="H45" s="7" t="inlineStr">
        <is>
          <t>w_m</t>
        </is>
      </c>
      <c r="I45" s="7" t="inlineStr">
        <is>
          <t>x_m</t>
        </is>
      </c>
      <c r="J45" s="7" t="inlineStr">
        <is>
          <t>y_m</t>
        </is>
      </c>
      <c r="K45" s="7" t="inlineStr">
        <is>
          <t>z_m</t>
        </is>
      </c>
    </row>
    <row r="46">
      <c r="A46" s="2" t="n">
        <v>1</v>
      </c>
      <c r="B46" s="2" t="inlineStr">
        <is>
          <t>boom_structure</t>
        </is>
      </c>
      <c r="C46" s="2" t="inlineStr">
        <is>
          <t>boom</t>
        </is>
      </c>
      <c r="D46" s="2" t="inlineStr">
        <is>
          <t>boom_local</t>
        </is>
      </c>
      <c r="E46" s="2" t="n">
        <v>759.1</v>
      </c>
      <c r="F46" s="2" t="n">
        <v>87</v>
      </c>
      <c r="G46" s="2" t="n">
        <v>0</v>
      </c>
      <c r="H46" s="2" t="n">
        <v>-0.4</v>
      </c>
      <c r="I46" s="2" t="n"/>
      <c r="J46" s="2" t="n"/>
      <c r="K46" s="2" t="n"/>
    </row>
    <row r="47">
      <c r="A47" s="2" t="n">
        <v>1</v>
      </c>
      <c r="B47" s="2" t="inlineStr">
        <is>
          <t>tagline_bottom_traverse</t>
        </is>
      </c>
      <c r="C47" s="2" t="inlineStr">
        <is>
          <t>boom</t>
        </is>
      </c>
      <c r="D47" s="2" t="inlineStr">
        <is>
          <t>boom_local</t>
        </is>
      </c>
      <c r="E47" s="2" t="n">
        <v>20</v>
      </c>
      <c r="F47" s="2" t="n">
        <v>20</v>
      </c>
      <c r="G47" s="2" t="n">
        <v>0</v>
      </c>
      <c r="H47" s="2" t="n">
        <v>-3</v>
      </c>
      <c r="I47" s="2" t="n"/>
      <c r="J47" s="2" t="n"/>
      <c r="K47" s="2" t="n"/>
    </row>
    <row r="48">
      <c r="A48" s="2" t="n">
        <v>1</v>
      </c>
      <c r="B48" s="2" t="inlineStr">
        <is>
          <t>tagline_top_traverse</t>
        </is>
      </c>
      <c r="C48" s="2" t="inlineStr">
        <is>
          <t>boom</t>
        </is>
      </c>
      <c r="D48" s="2" t="inlineStr">
        <is>
          <t>boom_local</t>
        </is>
      </c>
      <c r="E48" s="2" t="n">
        <v>15</v>
      </c>
      <c r="F48" s="2" t="n">
        <v>160</v>
      </c>
      <c r="G48" s="2" t="n">
        <v>0</v>
      </c>
      <c r="H48" s="2" t="n">
        <v>1</v>
      </c>
      <c r="I48" s="2" t="n"/>
      <c r="J48" s="2" t="n"/>
      <c r="K48" s="2" t="n"/>
    </row>
    <row r="49">
      <c r="A49" s="2" t="n">
        <v>1</v>
      </c>
      <c r="B49" s="2" t="inlineStr">
        <is>
          <t>platform_structure</t>
        </is>
      </c>
      <c r="C49" s="2" t="inlineStr">
        <is>
          <t>platform</t>
        </is>
      </c>
      <c r="D49" s="2" t="inlineStr">
        <is>
          <t>global</t>
        </is>
      </c>
      <c r="E49" s="2" t="n">
        <v>615</v>
      </c>
      <c r="F49" s="2" t="n"/>
      <c r="G49" s="2" t="n"/>
      <c r="H49" s="2" t="n"/>
      <c r="I49" s="2" t="n">
        <v>-0.49</v>
      </c>
      <c r="J49" s="2" t="n">
        <v>0.23</v>
      </c>
      <c r="K49" s="2" t="n">
        <v>4.24</v>
      </c>
    </row>
    <row r="50">
      <c r="A50" s="2" t="n">
        <v>1</v>
      </c>
      <c r="B50" s="2" t="inlineStr">
        <is>
          <t>aframe_structure</t>
        </is>
      </c>
      <c r="C50" s="2" t="inlineStr">
        <is>
          <t>platform</t>
        </is>
      </c>
      <c r="D50" s="2" t="inlineStr">
        <is>
          <t>global</t>
        </is>
      </c>
      <c r="E50" s="2" t="n">
        <v>422</v>
      </c>
      <c r="F50" s="2" t="n"/>
      <c r="G50" s="2" t="n"/>
      <c r="H50" s="2" t="n"/>
      <c r="I50" s="2" t="n">
        <v>-5.73</v>
      </c>
      <c r="J50" s="2" t="n">
        <v>0.09</v>
      </c>
      <c r="K50" s="2" t="n">
        <v>31.25</v>
      </c>
    </row>
    <row r="51">
      <c r="A51" s="2" t="n">
        <v>1</v>
      </c>
      <c r="B51" s="2" t="inlineStr">
        <is>
          <t>slewing_system</t>
        </is>
      </c>
      <c r="C51" s="2" t="inlineStr">
        <is>
          <t>platform</t>
        </is>
      </c>
      <c r="D51" s="2" t="inlineStr">
        <is>
          <t>global</t>
        </is>
      </c>
      <c r="E51" s="2" t="n">
        <v>83.59999999999999</v>
      </c>
      <c r="F51" s="2" t="n"/>
      <c r="G51" s="2" t="n"/>
      <c r="H51" s="2" t="n"/>
      <c r="I51" s="2" t="n">
        <v>0</v>
      </c>
      <c r="J51" s="2" t="n">
        <v>0</v>
      </c>
      <c r="K51" s="2" t="n">
        <v>0.19</v>
      </c>
    </row>
    <row r="52">
      <c r="A52" s="2" t="n">
        <v>1</v>
      </c>
      <c r="B52" s="2" t="inlineStr">
        <is>
          <t>winches_and_drives</t>
        </is>
      </c>
      <c r="C52" s="2" t="inlineStr">
        <is>
          <t>platform</t>
        </is>
      </c>
      <c r="D52" s="2" t="inlineStr">
        <is>
          <t>global</t>
        </is>
      </c>
      <c r="E52" s="2" t="n">
        <v>293</v>
      </c>
      <c r="F52" s="2" t="n"/>
      <c r="G52" s="2" t="n"/>
      <c r="H52" s="2" t="n"/>
      <c r="I52" s="2" t="n">
        <v>-6.12</v>
      </c>
      <c r="J52" s="2" t="n">
        <v>-1.05</v>
      </c>
      <c r="K52" s="2" t="n">
        <v>4.54</v>
      </c>
    </row>
    <row r="53">
      <c r="A53" s="2" t="n">
        <v>1</v>
      </c>
      <c r="B53" s="2" t="inlineStr">
        <is>
          <t>electrical</t>
        </is>
      </c>
      <c r="C53" s="2" t="inlineStr">
        <is>
          <t>platform</t>
        </is>
      </c>
      <c r="D53" s="2" t="inlineStr">
        <is>
          <t>global</t>
        </is>
      </c>
      <c r="E53" s="2" t="n">
        <v>72</v>
      </c>
      <c r="F53" s="2" t="n"/>
      <c r="G53" s="2" t="n"/>
      <c r="H53" s="2" t="n"/>
      <c r="I53" s="2" t="n">
        <v>-3.66</v>
      </c>
      <c r="J53" s="2" t="n">
        <v>-0.06</v>
      </c>
      <c r="K53" s="2" t="n">
        <v>3.9</v>
      </c>
    </row>
    <row r="54">
      <c r="A54" s="2" t="n">
        <v>1</v>
      </c>
      <c r="B54" s="2" t="inlineStr">
        <is>
          <t>utility</t>
        </is>
      </c>
      <c r="C54" s="2" t="inlineStr">
        <is>
          <t>platform</t>
        </is>
      </c>
      <c r="D54" s="2" t="inlineStr">
        <is>
          <t>global</t>
        </is>
      </c>
      <c r="E54" s="2" t="n">
        <v>32.7</v>
      </c>
      <c r="F54" s="2" t="n"/>
      <c r="G54" s="2" t="n"/>
      <c r="H54" s="2" t="n"/>
      <c r="I54" s="2" t="n">
        <v>-9.9</v>
      </c>
      <c r="J54" s="2" t="n">
        <v>0</v>
      </c>
      <c r="K54" s="2" t="n">
        <v>6.25</v>
      </c>
    </row>
    <row r="55">
      <c r="A55" s="2" t="n">
        <v>0</v>
      </c>
      <c r="B55" s="2" t="n"/>
      <c r="C55" s="2" t="n"/>
      <c r="D55" s="2" t="n"/>
      <c r="E55" s="2" t="n"/>
      <c r="F55" s="2" t="n"/>
      <c r="G55" s="2" t="n"/>
      <c r="H55" s="2" t="n"/>
      <c r="I55" s="2" t="n"/>
      <c r="J55" s="2" t="n"/>
      <c r="K55" s="2" t="n"/>
    </row>
    <row r="56">
      <c r="A56" s="2" t="n">
        <v>0</v>
      </c>
      <c r="B56" s="2" t="n"/>
      <c r="C56" s="2" t="n"/>
      <c r="D56" s="2" t="n"/>
      <c r="E56" s="2" t="n"/>
      <c r="F56" s="2" t="n"/>
      <c r="G56" s="2" t="n"/>
      <c r="H56" s="2" t="n"/>
      <c r="I56" s="2" t="n"/>
      <c r="J56" s="2" t="n"/>
      <c r="K56" s="2" t="n"/>
    </row>
    <row r="57">
      <c r="A57" s="2" t="n">
        <v>0</v>
      </c>
      <c r="B57" s="2" t="n"/>
      <c r="C57" s="2" t="n"/>
      <c r="D57" s="2" t="n"/>
      <c r="E57" s="2" t="n"/>
      <c r="F57" s="2" t="n"/>
      <c r="G57" s="2" t="n"/>
      <c r="H57" s="2" t="n"/>
      <c r="I57" s="2" t="n"/>
      <c r="J57" s="2" t="n"/>
      <c r="K57" s="2" t="n"/>
    </row>
    <row r="58">
      <c r="A58" s="2" t="n">
        <v>0</v>
      </c>
      <c r="B58" s="2" t="n"/>
      <c r="C58" s="2" t="n"/>
      <c r="D58" s="2" t="n"/>
      <c r="E58" s="2" t="n"/>
      <c r="F58" s="2" t="n"/>
      <c r="G58" s="2" t="n"/>
      <c r="H58" s="2" t="n"/>
      <c r="I58" s="2" t="n"/>
      <c r="J58" s="2" t="n"/>
      <c r="K58" s="2" t="n"/>
    </row>
    <row r="59">
      <c r="A59" s="2" t="n">
        <v>0</v>
      </c>
      <c r="B59" s="2" t="n"/>
      <c r="C59" s="2" t="n"/>
      <c r="D59" s="2" t="n"/>
      <c r="E59" s="2" t="n"/>
      <c r="F59" s="2" t="n"/>
      <c r="G59" s="2" t="n"/>
      <c r="H59" s="2" t="n"/>
      <c r="I59" s="2" t="n"/>
      <c r="J59" s="2" t="n"/>
      <c r="K59" s="2" t="n"/>
    </row>
    <row r="60">
      <c r="A60" s="2" t="n">
        <v>0</v>
      </c>
      <c r="B60" s="2" t="n"/>
      <c r="C60" s="2" t="n"/>
      <c r="D60" s="2" t="n"/>
      <c r="E60" s="2" t="n"/>
      <c r="F60" s="2" t="n"/>
      <c r="G60" s="2" t="n"/>
      <c r="H60" s="2" t="n"/>
      <c r="I60" s="2" t="n"/>
      <c r="J60" s="2" t="n"/>
      <c r="K60" s="2" t="n"/>
    </row>
    <row r="61">
      <c r="A61" s="2" t="n">
        <v>0</v>
      </c>
      <c r="B61" s="2" t="n"/>
      <c r="C61" s="2" t="n"/>
      <c r="D61" s="2" t="n"/>
      <c r="E61" s="2" t="n"/>
      <c r="F61" s="2" t="n"/>
      <c r="G61" s="2" t="n"/>
      <c r="H61" s="2" t="n"/>
      <c r="I61" s="2" t="n"/>
      <c r="J61" s="2" t="n"/>
      <c r="K61" s="2" t="n"/>
    </row>
    <row r="62">
      <c r="A62" s="2" t="n">
        <v>0</v>
      </c>
      <c r="B62" s="2" t="n"/>
      <c r="C62" s="2" t="n"/>
      <c r="D62" s="2" t="n"/>
      <c r="E62" s="2" t="n"/>
      <c r="F62" s="2" t="n"/>
      <c r="G62" s="2" t="n"/>
      <c r="H62" s="2" t="n"/>
      <c r="I62" s="2" t="n"/>
      <c r="J62" s="2" t="n"/>
      <c r="K62" s="2" t="n"/>
    </row>
    <row r="63">
      <c r="A63" s="2" t="n">
        <v>0</v>
      </c>
      <c r="B63" s="2" t="n"/>
      <c r="C63" s="2" t="n"/>
      <c r="D63" s="2" t="n"/>
      <c r="E63" s="2" t="n"/>
      <c r="F63" s="2" t="n"/>
      <c r="G63" s="2" t="n"/>
      <c r="H63" s="2" t="n"/>
      <c r="I63" s="2" t="n"/>
      <c r="J63" s="2" t="n"/>
      <c r="K63" s="2" t="n"/>
    </row>
    <row r="64">
      <c r="A64" s="2" t="n">
        <v>0</v>
      </c>
      <c r="B64" s="2" t="n"/>
      <c r="C64" s="2" t="n"/>
      <c r="D64" s="2" t="n"/>
      <c r="E64" s="2" t="n"/>
      <c r="F64" s="2" t="n"/>
      <c r="G64" s="2" t="n"/>
      <c r="H64" s="2" t="n"/>
      <c r="I64" s="2" t="n"/>
      <c r="J64" s="2" t="n"/>
      <c r="K64" s="2" t="n"/>
    </row>
    <row r="65">
      <c r="A65" s="2" t="n">
        <v>0</v>
      </c>
      <c r="B65" s="2" t="n"/>
      <c r="C65" s="2" t="n"/>
      <c r="D65" s="2" t="n"/>
      <c r="E65" s="2" t="n"/>
      <c r="F65" s="2" t="n"/>
      <c r="G65" s="2" t="n"/>
      <c r="H65" s="2" t="n"/>
      <c r="I65" s="2" t="n"/>
      <c r="J65" s="2" t="n"/>
      <c r="K65" s="2" t="n"/>
    </row>
    <row r="66">
      <c r="A66" s="2" t="n">
        <v>0</v>
      </c>
      <c r="B66" s="2" t="n"/>
      <c r="C66" s="2" t="n"/>
      <c r="D66" s="2" t="n"/>
      <c r="E66" s="2" t="n"/>
      <c r="F66" s="2" t="n"/>
      <c r="G66" s="2" t="n"/>
      <c r="H66" s="2" t="n"/>
      <c r="I66" s="2" t="n"/>
      <c r="J66" s="2" t="n"/>
      <c r="K66" s="2" t="n"/>
    </row>
    <row r="67">
      <c r="A67" s="2" t="n">
        <v>0</v>
      </c>
      <c r="B67" s="2" t="n"/>
      <c r="C67" s="2" t="n"/>
      <c r="D67" s="2" t="n"/>
      <c r="E67" s="2" t="n"/>
      <c r="F67" s="2" t="n"/>
      <c r="G67" s="2" t="n"/>
      <c r="H67" s="2" t="n"/>
      <c r="I67" s="2" t="n"/>
      <c r="J67" s="2" t="n"/>
      <c r="K67" s="2" t="n"/>
    </row>
    <row r="68">
      <c r="A68" s="2" t="n">
        <v>0</v>
      </c>
      <c r="B68" s="2" t="n"/>
      <c r="C68" s="2" t="n"/>
      <c r="D68" s="2" t="n"/>
      <c r="E68" s="2" t="n"/>
      <c r="F68" s="2" t="n"/>
      <c r="G68" s="2" t="n"/>
      <c r="H68" s="2" t="n"/>
      <c r="I68" s="2" t="n"/>
      <c r="J68" s="2" t="n"/>
      <c r="K68" s="2" t="n"/>
    </row>
    <row r="69">
      <c r="A69" s="2" t="n">
        <v>0</v>
      </c>
      <c r="B69" s="2" t="n"/>
      <c r="C69" s="2" t="n"/>
      <c r="D69" s="2" t="n"/>
      <c r="E69" s="2" t="n"/>
      <c r="F69" s="2" t="n"/>
      <c r="G69" s="2" t="n"/>
      <c r="H69" s="2" t="n"/>
      <c r="I69" s="2" t="n"/>
      <c r="J69" s="2" t="n"/>
      <c r="K69" s="2" t="n"/>
    </row>
    <row r="70">
      <c r="A70" s="2" t="n">
        <v>0</v>
      </c>
      <c r="B70" s="2" t="n"/>
      <c r="C70" s="2" t="n"/>
      <c r="D70" s="2" t="n"/>
      <c r="E70" s="2" t="n"/>
      <c r="F70" s="2" t="n"/>
      <c r="G70" s="2" t="n"/>
      <c r="H70" s="2" t="n"/>
      <c r="I70" s="2" t="n"/>
      <c r="J70" s="2" t="n"/>
      <c r="K70" s="2" t="n"/>
    </row>
    <row r="71">
      <c r="A71" s="2" t="n">
        <v>0</v>
      </c>
      <c r="B71" s="2" t="n"/>
      <c r="C71" s="2" t="n"/>
      <c r="D71" s="2" t="n"/>
      <c r="E71" s="2" t="n"/>
      <c r="F71" s="2" t="n"/>
      <c r="G71" s="2" t="n"/>
      <c r="H71" s="2" t="n"/>
      <c r="I71" s="2" t="n"/>
      <c r="J71" s="2" t="n"/>
      <c r="K71" s="2" t="n"/>
    </row>
    <row r="72">
      <c r="A72" s="2" t="n">
        <v>0</v>
      </c>
      <c r="B72" s="2" t="n"/>
      <c r="C72" s="2" t="n"/>
      <c r="D72" s="2" t="n"/>
      <c r="E72" s="2" t="n"/>
      <c r="F72" s="2" t="n"/>
      <c r="G72" s="2" t="n"/>
      <c r="H72" s="2" t="n"/>
      <c r="I72" s="2" t="n"/>
      <c r="J72" s="2" t="n"/>
      <c r="K72" s="2" t="n"/>
    </row>
    <row r="73">
      <c r="A73" s="2" t="n">
        <v>0</v>
      </c>
      <c r="B73" s="2" t="n"/>
      <c r="C73" s="2" t="n"/>
      <c r="D73" s="2" t="n"/>
      <c r="E73" s="2" t="n"/>
      <c r="F73" s="2" t="n"/>
      <c r="G73" s="2" t="n"/>
      <c r="H73" s="2" t="n"/>
      <c r="I73" s="2" t="n"/>
      <c r="J73" s="2" t="n"/>
      <c r="K73" s="2" t="n"/>
    </row>
    <row r="74">
      <c r="A74" s="2" t="n">
        <v>0</v>
      </c>
      <c r="B74" s="2" t="n"/>
      <c r="C74" s="2" t="n"/>
      <c r="D74" s="2" t="n"/>
      <c r="E74" s="2" t="n"/>
      <c r="F74" s="2" t="n"/>
      <c r="G74" s="2" t="n"/>
      <c r="H74" s="2" t="n"/>
      <c r="I74" s="2" t="n"/>
      <c r="J74" s="2" t="n"/>
      <c r="K74" s="2" t="n"/>
    </row>
    <row r="75">
      <c r="A75" s="2" t="n">
        <v>0</v>
      </c>
      <c r="B75" s="2" t="n"/>
      <c r="C75" s="2" t="n"/>
      <c r="D75" s="2" t="n"/>
      <c r="E75" s="2" t="n"/>
      <c r="F75" s="2" t="n"/>
      <c r="G75" s="2" t="n"/>
      <c r="H75" s="2" t="n"/>
      <c r="I75" s="2" t="n"/>
      <c r="J75" s="2" t="n"/>
      <c r="K75" s="2" t="n"/>
    </row>
    <row r="76">
      <c r="A76" s="2" t="n">
        <v>0</v>
      </c>
      <c r="B76" s="2" t="n"/>
      <c r="C76" s="2" t="n"/>
      <c r="D76" s="2" t="n"/>
      <c r="E76" s="2" t="n"/>
      <c r="F76" s="2" t="n"/>
      <c r="G76" s="2" t="n"/>
      <c r="H76" s="2" t="n"/>
      <c r="I76" s="2" t="n"/>
      <c r="J76" s="2" t="n"/>
      <c r="K76" s="2" t="n"/>
    </row>
    <row r="77">
      <c r="A77" s="2" t="n">
        <v>0</v>
      </c>
      <c r="B77" s="2" t="n"/>
      <c r="C77" s="2" t="n"/>
      <c r="D77" s="2" t="n"/>
      <c r="E77" s="2" t="n"/>
      <c r="F77" s="2" t="n"/>
      <c r="G77" s="2" t="n"/>
      <c r="H77" s="2" t="n"/>
      <c r="I77" s="2" t="n"/>
      <c r="J77" s="2" t="n"/>
      <c r="K77" s="2" t="n"/>
    </row>
    <row r="78">
      <c r="A78" s="2" t="n">
        <v>0</v>
      </c>
      <c r="B78" s="2" t="n"/>
      <c r="C78" s="2" t="n"/>
      <c r="D78" s="2" t="n"/>
      <c r="E78" s="2" t="n"/>
      <c r="F78" s="2" t="n"/>
      <c r="G78" s="2" t="n"/>
      <c r="H78" s="2" t="n"/>
      <c r="I78" s="2" t="n"/>
      <c r="J78" s="2" t="n"/>
      <c r="K78" s="2" t="n"/>
    </row>
    <row r="79">
      <c r="A79" s="2" t="n">
        <v>0</v>
      </c>
      <c r="B79" s="2" t="n"/>
      <c r="C79" s="2" t="n"/>
      <c r="D79" s="2" t="n"/>
      <c r="E79" s="2" t="n"/>
      <c r="F79" s="2" t="n"/>
      <c r="G79" s="2" t="n"/>
      <c r="H79" s="2" t="n"/>
      <c r="I79" s="2" t="n"/>
      <c r="J79" s="2" t="n"/>
      <c r="K79" s="2" t="n"/>
    </row>
    <row r="80">
      <c r="A80" s="2" t="n">
        <v>0</v>
      </c>
      <c r="B80" s="2" t="n"/>
      <c r="C80" s="2" t="n"/>
      <c r="D80" s="2" t="n"/>
      <c r="E80" s="2" t="n"/>
      <c r="F80" s="2" t="n"/>
      <c r="G80" s="2" t="n"/>
      <c r="H80" s="2" t="n"/>
      <c r="I80" s="2" t="n"/>
      <c r="J80" s="2" t="n"/>
      <c r="K80" s="2" t="n"/>
    </row>
    <row r="81">
      <c r="A81" s="2" t="n">
        <v>0</v>
      </c>
      <c r="B81" s="2" t="n"/>
      <c r="C81" s="2" t="n"/>
      <c r="D81" s="2" t="n"/>
      <c r="E81" s="2" t="n"/>
      <c r="F81" s="2" t="n"/>
      <c r="G81" s="2" t="n"/>
      <c r="H81" s="2" t="n"/>
      <c r="I81" s="2" t="n"/>
      <c r="J81" s="2" t="n"/>
      <c r="K81" s="2" t="n"/>
    </row>
    <row r="82">
      <c r="A82" s="2" t="n">
        <v>0</v>
      </c>
      <c r="B82" s="2" t="n"/>
      <c r="C82" s="2" t="n"/>
      <c r="D82" s="2" t="n"/>
      <c r="E82" s="2" t="n"/>
      <c r="F82" s="2" t="n"/>
      <c r="G82" s="2" t="n"/>
      <c r="H82" s="2" t="n"/>
      <c r="I82" s="2" t="n"/>
      <c r="J82" s="2" t="n"/>
      <c r="K82" s="2" t="n"/>
    </row>
    <row r="83">
      <c r="A83" s="2" t="n">
        <v>0</v>
      </c>
      <c r="B83" s="2" t="n"/>
      <c r="C83" s="2" t="n"/>
      <c r="D83" s="2" t="n"/>
      <c r="E83" s="2" t="n"/>
      <c r="F83" s="2" t="n"/>
      <c r="G83" s="2" t="n"/>
      <c r="H83" s="2" t="n"/>
      <c r="I83" s="2" t="n"/>
      <c r="J83" s="2" t="n"/>
      <c r="K83" s="2" t="n"/>
    </row>
    <row r="84">
      <c r="A84" s="2" t="n">
        <v>0</v>
      </c>
      <c r="B84" s="2" t="n"/>
      <c r="C84" s="2" t="n"/>
      <c r="D84" s="2" t="n"/>
      <c r="E84" s="2" t="n"/>
      <c r="F84" s="2" t="n"/>
      <c r="G84" s="2" t="n"/>
      <c r="H84" s="2" t="n"/>
      <c r="I84" s="2" t="n"/>
      <c r="J84" s="2" t="n"/>
      <c r="K84" s="2" t="n"/>
    </row>
    <row r="85">
      <c r="A85" s="2" t="n">
        <v>0</v>
      </c>
      <c r="B85" s="2" t="n"/>
      <c r="C85" s="2" t="n"/>
      <c r="D85" s="2" t="n"/>
      <c r="E85" s="2" t="n"/>
      <c r="F85" s="2" t="n"/>
      <c r="G85" s="2" t="n"/>
      <c r="H85" s="2" t="n"/>
      <c r="I85" s="2" t="n"/>
      <c r="J85" s="2" t="n"/>
      <c r="K85" s="2" t="n"/>
    </row>
    <row r="86">
      <c r="A86" s="5" t="n"/>
      <c r="B86" s="5" t="n"/>
      <c r="C86" s="5" t="n"/>
      <c r="D86" s="5" t="n"/>
      <c r="E86" s="5" t="n"/>
      <c r="F86" s="5" t="n"/>
      <c r="G86" s="5" t="n"/>
      <c r="H86" s="5" t="n"/>
      <c r="I86" s="5" t="n"/>
      <c r="J86" s="5" t="n"/>
      <c r="K86" s="5" t="n"/>
    </row>
    <row r="87">
      <c r="A87" s="9" t="inlineStr">
        <is>
          <t>End of mass_points (40 rows). Keep the red guard row blank: anything typed there is counted as overflow on Checks. Spare rows: Active = 0, other cells blank.</t>
        </is>
      </c>
    </row>
    <row r="89">
      <c r="A89" s="6" t="inlineStr">
        <is>
          <t>Wind areas (all bodies)</t>
        </is>
      </c>
      <c r="D89" t="inlineStr">
        <is>
          <t>Capacity</t>
        </is>
      </c>
      <c r="E89" s="4" t="n">
        <v>40</v>
      </c>
      <c r="F89" t="inlineStr">
        <is>
          <t>Rows not written (overflow)</t>
        </is>
      </c>
      <c r="G89" s="4" t="n">
        <v>0</v>
      </c>
    </row>
    <row r="90">
      <c r="A90" s="8" t="inlineStr">
        <is>
          <t>Active [1/0]</t>
        </is>
      </c>
      <c r="B90" s="8" t="inlineStr">
        <is>
          <t>Id</t>
        </is>
      </c>
      <c r="C90" s="8" t="inlineStr">
        <is>
          <t>Body</t>
        </is>
      </c>
      <c r="D90" s="8" t="inlineStr">
        <is>
          <t>Frame</t>
        </is>
      </c>
      <c r="E90" s="8" t="inlineStr">
        <is>
          <t>Cd</t>
        </is>
      </c>
      <c r="F90" s="8" t="inlineStr">
        <is>
          <t>Area for X wind [m^2]</t>
        </is>
      </c>
      <c r="G90" s="8" t="inlineStr">
        <is>
          <t>Area for Y wind [m^2]</t>
        </is>
      </c>
      <c r="H90" s="8" t="inlineStr">
        <is>
          <t>u (along boom) [m]</t>
        </is>
      </c>
      <c r="I90" s="8" t="inlineStr">
        <is>
          <t>w (boom normal) [m]</t>
        </is>
      </c>
      <c r="J90" s="8" t="inlineStr">
        <is>
          <t>x [m]</t>
        </is>
      </c>
      <c r="K90" s="8" t="inlineStr">
        <is>
          <t>z [m]</t>
        </is>
      </c>
    </row>
    <row r="91">
      <c r="A91" s="7" t="inlineStr">
        <is>
          <t>active (1 = row in use, 0 = spare)</t>
        </is>
      </c>
      <c r="B91" s="7" t="inlineStr">
        <is>
          <t>id</t>
        </is>
      </c>
      <c r="C91" s="7" t="inlineStr">
        <is>
          <t>body</t>
        </is>
      </c>
      <c r="D91" s="7" t="inlineStr">
        <is>
          <t>frame (boom_local uses u/w)</t>
        </is>
      </c>
      <c r="E91" s="7" t="inlineStr">
        <is>
          <t>cd</t>
        </is>
      </c>
      <c r="F91" s="7" t="inlineStr">
        <is>
          <t>area_x_m2</t>
        </is>
      </c>
      <c r="G91" s="7" t="inlineStr">
        <is>
          <t>area_y_m2</t>
        </is>
      </c>
      <c r="H91" s="7" t="inlineStr">
        <is>
          <t>u_m</t>
        </is>
      </c>
      <c r="I91" s="7" t="inlineStr">
        <is>
          <t>w_m</t>
        </is>
      </c>
      <c r="J91" s="7" t="inlineStr">
        <is>
          <t>x_m</t>
        </is>
      </c>
      <c r="K91" s="7" t="inlineStr">
        <is>
          <t>z_m</t>
        </is>
      </c>
    </row>
    <row r="92">
      <c r="A92" s="2" t="n">
        <v>1</v>
      </c>
      <c r="B92" s="2" t="inlineStr">
        <is>
          <t>boom_lattice</t>
        </is>
      </c>
      <c r="C92" s="2" t="inlineStr">
        <is>
          <t>boom</t>
        </is>
      </c>
      <c r="D92" s="2" t="inlineStr">
        <is>
          <t>boom_local</t>
        </is>
      </c>
      <c r="E92" s="2" t="n">
        <v>1.25</v>
      </c>
      <c r="F92" s="2" t="n">
        <v>540.3</v>
      </c>
      <c r="G92" s="2" t="n">
        <v>485.7</v>
      </c>
      <c r="H92" s="2" t="n">
        <v>82.40000000000001</v>
      </c>
      <c r="I92" s="2" t="n">
        <v>0</v>
      </c>
      <c r="J92" s="2" t="n"/>
      <c r="K92" s="2" t="n"/>
    </row>
    <row r="93">
      <c r="A93" s="2" t="n">
        <v>1</v>
      </c>
      <c r="B93" s="2" t="inlineStr">
        <is>
          <t>boom_head</t>
        </is>
      </c>
      <c r="C93" s="2" t="inlineStr">
        <is>
          <t>boom</t>
        </is>
      </c>
      <c r="D93" s="2" t="inlineStr">
        <is>
          <t>boom_local</t>
        </is>
      </c>
      <c r="E93" s="2" t="n">
        <v>1</v>
      </c>
      <c r="F93" s="2" t="n">
        <v>49.4</v>
      </c>
      <c r="G93" s="2" t="n">
        <v>53</v>
      </c>
      <c r="H93" s="2" t="n">
        <v>157</v>
      </c>
      <c r="I93" s="2" t="n">
        <v>0</v>
      </c>
      <c r="J93" s="2" t="n"/>
      <c r="K93" s="2" t="n"/>
    </row>
    <row r="94">
      <c r="A94" s="2" t="n">
        <v>1</v>
      </c>
      <c r="B94" s="2" t="inlineStr">
        <is>
          <t>platform_wind_x</t>
        </is>
      </c>
      <c r="C94" s="2" t="inlineStr">
        <is>
          <t>platform</t>
        </is>
      </c>
      <c r="D94" s="2" t="inlineStr">
        <is>
          <t>global</t>
        </is>
      </c>
      <c r="E94" s="2" t="n">
        <v>1</v>
      </c>
      <c r="F94" s="2" t="n">
        <v>156.5</v>
      </c>
      <c r="G94" s="2" t="n">
        <v>0</v>
      </c>
      <c r="H94" s="2" t="n"/>
      <c r="I94" s="2" t="n"/>
      <c r="J94" s="2" t="n">
        <v>0</v>
      </c>
      <c r="K94" s="2" t="n">
        <v>3.4</v>
      </c>
    </row>
    <row r="95">
      <c r="A95" s="2" t="n">
        <v>1</v>
      </c>
      <c r="B95" s="2" t="inlineStr">
        <is>
          <t>platform_wind_y</t>
        </is>
      </c>
      <c r="C95" s="2" t="inlineStr">
        <is>
          <t>platform</t>
        </is>
      </c>
      <c r="D95" s="2" t="inlineStr">
        <is>
          <t>global</t>
        </is>
      </c>
      <c r="E95" s="2" t="n">
        <v>1</v>
      </c>
      <c r="F95" s="2" t="n">
        <v>0</v>
      </c>
      <c r="G95" s="2" t="n">
        <v>164.6</v>
      </c>
      <c r="H95" s="2" t="n"/>
      <c r="I95" s="2" t="n"/>
      <c r="J95" s="2" t="n">
        <v>-0.1</v>
      </c>
      <c r="K95" s="2" t="n">
        <v>3.6</v>
      </c>
    </row>
    <row r="96">
      <c r="A96" s="2" t="n">
        <v>1</v>
      </c>
      <c r="B96" s="2" t="inlineStr">
        <is>
          <t>ehouse_wind_x</t>
        </is>
      </c>
      <c r="C96" s="2" t="inlineStr">
        <is>
          <t>platform</t>
        </is>
      </c>
      <c r="D96" s="2" t="inlineStr">
        <is>
          <t>global</t>
        </is>
      </c>
      <c r="E96" s="2" t="n">
        <v>1</v>
      </c>
      <c r="F96" s="2" t="n">
        <v>51.1</v>
      </c>
      <c r="G96" s="2" t="n">
        <v>0</v>
      </c>
      <c r="H96" s="2" t="n"/>
      <c r="I96" s="2" t="n"/>
      <c r="J96" s="2" t="n">
        <v>0</v>
      </c>
      <c r="K96" s="2" t="n">
        <v>8.4</v>
      </c>
    </row>
    <row r="97">
      <c r="A97" s="2" t="n">
        <v>1</v>
      </c>
      <c r="B97" s="2" t="inlineStr">
        <is>
          <t>ehouse_wind_y</t>
        </is>
      </c>
      <c r="C97" s="2" t="inlineStr">
        <is>
          <t>platform</t>
        </is>
      </c>
      <c r="D97" s="2" t="inlineStr">
        <is>
          <t>global</t>
        </is>
      </c>
      <c r="E97" s="2" t="n">
        <v>1</v>
      </c>
      <c r="F97" s="2" t="n">
        <v>0</v>
      </c>
      <c r="G97" s="2" t="n">
        <v>35.6</v>
      </c>
      <c r="H97" s="2" t="n"/>
      <c r="I97" s="2" t="n"/>
      <c r="J97" s="2" t="n">
        <v>-14.9</v>
      </c>
      <c r="K97" s="2" t="n">
        <v>6.6</v>
      </c>
    </row>
    <row r="98">
      <c r="A98" s="2" t="n">
        <v>1</v>
      </c>
      <c r="B98" s="2" t="inlineStr">
        <is>
          <t>aframe_wind_x</t>
        </is>
      </c>
      <c r="C98" s="2" t="inlineStr">
        <is>
          <t>platform</t>
        </is>
      </c>
      <c r="D98" s="2" t="inlineStr">
        <is>
          <t>global</t>
        </is>
      </c>
      <c r="E98" s="2" t="n">
        <v>1</v>
      </c>
      <c r="F98" s="2" t="n">
        <v>310.9</v>
      </c>
      <c r="G98" s="2" t="n">
        <v>0</v>
      </c>
      <c r="H98" s="2" t="n"/>
      <c r="I98" s="2" t="n"/>
      <c r="J98" s="2" t="n">
        <v>0</v>
      </c>
      <c r="K98" s="2" t="n">
        <v>31</v>
      </c>
    </row>
    <row r="99">
      <c r="A99" s="2" t="n">
        <v>1</v>
      </c>
      <c r="B99" s="2" t="inlineStr">
        <is>
          <t>aframe_wind_y</t>
        </is>
      </c>
      <c r="C99" s="2" t="inlineStr">
        <is>
          <t>platform</t>
        </is>
      </c>
      <c r="D99" s="2" t="inlineStr">
        <is>
          <t>global</t>
        </is>
      </c>
      <c r="E99" s="2" t="n">
        <v>1</v>
      </c>
      <c r="F99" s="2" t="n">
        <v>0</v>
      </c>
      <c r="G99" s="2" t="n">
        <v>169.4</v>
      </c>
      <c r="H99" s="2" t="n"/>
      <c r="I99" s="2" t="n"/>
      <c r="J99" s="2" t="n">
        <v>-5.3</v>
      </c>
      <c r="K99" s="2" t="n">
        <v>29.4</v>
      </c>
    </row>
    <row r="100">
      <c r="A100" s="2" t="n">
        <v>0</v>
      </c>
      <c r="B100" s="2" t="n"/>
      <c r="C100" s="2" t="n"/>
      <c r="D100" s="2" t="n"/>
      <c r="E100" s="2" t="n"/>
      <c r="F100" s="2" t="n"/>
      <c r="G100" s="2" t="n"/>
      <c r="H100" s="2" t="n"/>
      <c r="I100" s="2" t="n"/>
      <c r="J100" s="2" t="n"/>
      <c r="K100" s="2" t="n"/>
    </row>
    <row r="101">
      <c r="A101" s="2" t="n">
        <v>0</v>
      </c>
      <c r="B101" s="2" t="n"/>
      <c r="C101" s="2" t="n"/>
      <c r="D101" s="2" t="n"/>
      <c r="E101" s="2" t="n"/>
      <c r="F101" s="2" t="n"/>
      <c r="G101" s="2" t="n"/>
      <c r="H101" s="2" t="n"/>
      <c r="I101" s="2" t="n"/>
      <c r="J101" s="2" t="n"/>
      <c r="K101" s="2" t="n"/>
    </row>
    <row r="102">
      <c r="A102" s="2" t="n">
        <v>0</v>
      </c>
      <c r="B102" s="2" t="n"/>
      <c r="C102" s="2" t="n"/>
      <c r="D102" s="2" t="n"/>
      <c r="E102" s="2" t="n"/>
      <c r="F102" s="2" t="n"/>
      <c r="G102" s="2" t="n"/>
      <c r="H102" s="2" t="n"/>
      <c r="I102" s="2" t="n"/>
      <c r="J102" s="2" t="n"/>
      <c r="K102" s="2" t="n"/>
    </row>
    <row r="103">
      <c r="A103" s="2" t="n">
        <v>0</v>
      </c>
      <c r="B103" s="2" t="n"/>
      <c r="C103" s="2" t="n"/>
      <c r="D103" s="2" t="n"/>
      <c r="E103" s="2" t="n"/>
      <c r="F103" s="2" t="n"/>
      <c r="G103" s="2" t="n"/>
      <c r="H103" s="2" t="n"/>
      <c r="I103" s="2" t="n"/>
      <c r="J103" s="2" t="n"/>
      <c r="K103" s="2" t="n"/>
    </row>
    <row r="104">
      <c r="A104" s="2" t="n">
        <v>0</v>
      </c>
      <c r="B104" s="2" t="n"/>
      <c r="C104" s="2" t="n"/>
      <c r="D104" s="2" t="n"/>
      <c r="E104" s="2" t="n"/>
      <c r="F104" s="2" t="n"/>
      <c r="G104" s="2" t="n"/>
      <c r="H104" s="2" t="n"/>
      <c r="I104" s="2" t="n"/>
      <c r="J104" s="2" t="n"/>
      <c r="K104" s="2" t="n"/>
    </row>
    <row r="105">
      <c r="A105" s="2" t="n">
        <v>0</v>
      </c>
      <c r="B105" s="2" t="n"/>
      <c r="C105" s="2" t="n"/>
      <c r="D105" s="2" t="n"/>
      <c r="E105" s="2" t="n"/>
      <c r="F105" s="2" t="n"/>
      <c r="G105" s="2" t="n"/>
      <c r="H105" s="2" t="n"/>
      <c r="I105" s="2" t="n"/>
      <c r="J105" s="2" t="n"/>
      <c r="K105" s="2" t="n"/>
    </row>
    <row r="106">
      <c r="A106" s="2" t="n">
        <v>0</v>
      </c>
      <c r="B106" s="2" t="n"/>
      <c r="C106" s="2" t="n"/>
      <c r="D106" s="2" t="n"/>
      <c r="E106" s="2" t="n"/>
      <c r="F106" s="2" t="n"/>
      <c r="G106" s="2" t="n"/>
      <c r="H106" s="2" t="n"/>
      <c r="I106" s="2" t="n"/>
      <c r="J106" s="2" t="n"/>
      <c r="K106" s="2" t="n"/>
    </row>
    <row r="107">
      <c r="A107" s="2" t="n">
        <v>0</v>
      </c>
      <c r="B107" s="2" t="n"/>
      <c r="C107" s="2" t="n"/>
      <c r="D107" s="2" t="n"/>
      <c r="E107" s="2" t="n"/>
      <c r="F107" s="2" t="n"/>
      <c r="G107" s="2" t="n"/>
      <c r="H107" s="2" t="n"/>
      <c r="I107" s="2" t="n"/>
      <c r="J107" s="2" t="n"/>
      <c r="K107" s="2" t="n"/>
    </row>
    <row r="108">
      <c r="A108" s="2" t="n">
        <v>0</v>
      </c>
      <c r="B108" s="2" t="n"/>
      <c r="C108" s="2" t="n"/>
      <c r="D108" s="2" t="n"/>
      <c r="E108" s="2" t="n"/>
      <c r="F108" s="2" t="n"/>
      <c r="G108" s="2" t="n"/>
      <c r="H108" s="2" t="n"/>
      <c r="I108" s="2" t="n"/>
      <c r="J108" s="2" t="n"/>
      <c r="K108" s="2" t="n"/>
    </row>
    <row r="109">
      <c r="A109" s="2" t="n">
        <v>0</v>
      </c>
      <c r="B109" s="2" t="n"/>
      <c r="C109" s="2" t="n"/>
      <c r="D109" s="2" t="n"/>
      <c r="E109" s="2" t="n"/>
      <c r="F109" s="2" t="n"/>
      <c r="G109" s="2" t="n"/>
      <c r="H109" s="2" t="n"/>
      <c r="I109" s="2" t="n"/>
      <c r="J109" s="2" t="n"/>
      <c r="K109" s="2" t="n"/>
    </row>
    <row r="110">
      <c r="A110" s="2" t="n">
        <v>0</v>
      </c>
      <c r="B110" s="2" t="n"/>
      <c r="C110" s="2" t="n"/>
      <c r="D110" s="2" t="n"/>
      <c r="E110" s="2" t="n"/>
      <c r="F110" s="2" t="n"/>
      <c r="G110" s="2" t="n"/>
      <c r="H110" s="2" t="n"/>
      <c r="I110" s="2" t="n"/>
      <c r="J110" s="2" t="n"/>
      <c r="K110" s="2" t="n"/>
    </row>
    <row r="111">
      <c r="A111" s="2" t="n">
        <v>0</v>
      </c>
      <c r="B111" s="2" t="n"/>
      <c r="C111" s="2" t="n"/>
      <c r="D111" s="2" t="n"/>
      <c r="E111" s="2" t="n"/>
      <c r="F111" s="2" t="n"/>
      <c r="G111" s="2" t="n"/>
      <c r="H111" s="2" t="n"/>
      <c r="I111" s="2" t="n"/>
      <c r="J111" s="2" t="n"/>
      <c r="K111" s="2" t="n"/>
    </row>
    <row r="112">
      <c r="A112" s="2" t="n">
        <v>0</v>
      </c>
      <c r="B112" s="2" t="n"/>
      <c r="C112" s="2" t="n"/>
      <c r="D112" s="2" t="n"/>
      <c r="E112" s="2" t="n"/>
      <c r="F112" s="2" t="n"/>
      <c r="G112" s="2" t="n"/>
      <c r="H112" s="2" t="n"/>
      <c r="I112" s="2" t="n"/>
      <c r="J112" s="2" t="n"/>
      <c r="K112" s="2" t="n"/>
    </row>
    <row r="113">
      <c r="A113" s="2" t="n">
        <v>0</v>
      </c>
      <c r="B113" s="2" t="n"/>
      <c r="C113" s="2" t="n"/>
      <c r="D113" s="2" t="n"/>
      <c r="E113" s="2" t="n"/>
      <c r="F113" s="2" t="n"/>
      <c r="G113" s="2" t="n"/>
      <c r="H113" s="2" t="n"/>
      <c r="I113" s="2" t="n"/>
      <c r="J113" s="2" t="n"/>
      <c r="K113" s="2" t="n"/>
    </row>
    <row r="114">
      <c r="A114" s="2" t="n">
        <v>0</v>
      </c>
      <c r="B114" s="2" t="n"/>
      <c r="C114" s="2" t="n"/>
      <c r="D114" s="2" t="n"/>
      <c r="E114" s="2" t="n"/>
      <c r="F114" s="2" t="n"/>
      <c r="G114" s="2" t="n"/>
      <c r="H114" s="2" t="n"/>
      <c r="I114" s="2" t="n"/>
      <c r="J114" s="2" t="n"/>
      <c r="K114" s="2" t="n"/>
    </row>
    <row r="115">
      <c r="A115" s="2" t="n">
        <v>0</v>
      </c>
      <c r="B115" s="2" t="n"/>
      <c r="C115" s="2" t="n"/>
      <c r="D115" s="2" t="n"/>
      <c r="E115" s="2" t="n"/>
      <c r="F115" s="2" t="n"/>
      <c r="G115" s="2" t="n"/>
      <c r="H115" s="2" t="n"/>
      <c r="I115" s="2" t="n"/>
      <c r="J115" s="2" t="n"/>
      <c r="K115" s="2" t="n"/>
    </row>
    <row r="116">
      <c r="A116" s="2" t="n">
        <v>0</v>
      </c>
      <c r="B116" s="2" t="n"/>
      <c r="C116" s="2" t="n"/>
      <c r="D116" s="2" t="n"/>
      <c r="E116" s="2" t="n"/>
      <c r="F116" s="2" t="n"/>
      <c r="G116" s="2" t="n"/>
      <c r="H116" s="2" t="n"/>
      <c r="I116" s="2" t="n"/>
      <c r="J116" s="2" t="n"/>
      <c r="K116" s="2" t="n"/>
    </row>
    <row r="117">
      <c r="A117" s="2" t="n">
        <v>0</v>
      </c>
      <c r="B117" s="2" t="n"/>
      <c r="C117" s="2" t="n"/>
      <c r="D117" s="2" t="n"/>
      <c r="E117" s="2" t="n"/>
      <c r="F117" s="2" t="n"/>
      <c r="G117" s="2" t="n"/>
      <c r="H117" s="2" t="n"/>
      <c r="I117" s="2" t="n"/>
      <c r="J117" s="2" t="n"/>
      <c r="K117" s="2" t="n"/>
    </row>
    <row r="118">
      <c r="A118" s="2" t="n">
        <v>0</v>
      </c>
      <c r="B118" s="2" t="n"/>
      <c r="C118" s="2" t="n"/>
      <c r="D118" s="2" t="n"/>
      <c r="E118" s="2" t="n"/>
      <c r="F118" s="2" t="n"/>
      <c r="G118" s="2" t="n"/>
      <c r="H118" s="2" t="n"/>
      <c r="I118" s="2" t="n"/>
      <c r="J118" s="2" t="n"/>
      <c r="K118" s="2" t="n"/>
    </row>
    <row r="119">
      <c r="A119" s="2" t="n">
        <v>0</v>
      </c>
      <c r="B119" s="2" t="n"/>
      <c r="C119" s="2" t="n"/>
      <c r="D119" s="2" t="n"/>
      <c r="E119" s="2" t="n"/>
      <c r="F119" s="2" t="n"/>
      <c r="G119" s="2" t="n"/>
      <c r="H119" s="2" t="n"/>
      <c r="I119" s="2" t="n"/>
      <c r="J119" s="2" t="n"/>
      <c r="K119" s="2" t="n"/>
    </row>
    <row r="120">
      <c r="A120" s="2" t="n">
        <v>0</v>
      </c>
      <c r="B120" s="2" t="n"/>
      <c r="C120" s="2" t="n"/>
      <c r="D120" s="2" t="n"/>
      <c r="E120" s="2" t="n"/>
      <c r="F120" s="2" t="n"/>
      <c r="G120" s="2" t="n"/>
      <c r="H120" s="2" t="n"/>
      <c r="I120" s="2" t="n"/>
      <c r="J120" s="2" t="n"/>
      <c r="K120" s="2" t="n"/>
    </row>
    <row r="121">
      <c r="A121" s="2" t="n">
        <v>0</v>
      </c>
      <c r="B121" s="2" t="n"/>
      <c r="C121" s="2" t="n"/>
      <c r="D121" s="2" t="n"/>
      <c r="E121" s="2" t="n"/>
      <c r="F121" s="2" t="n"/>
      <c r="G121" s="2" t="n"/>
      <c r="H121" s="2" t="n"/>
      <c r="I121" s="2" t="n"/>
      <c r="J121" s="2" t="n"/>
      <c r="K121" s="2" t="n"/>
    </row>
    <row r="122">
      <c r="A122" s="2" t="n">
        <v>0</v>
      </c>
      <c r="B122" s="2" t="n"/>
      <c r="C122" s="2" t="n"/>
      <c r="D122" s="2" t="n"/>
      <c r="E122" s="2" t="n"/>
      <c r="F122" s="2" t="n"/>
      <c r="G122" s="2" t="n"/>
      <c r="H122" s="2" t="n"/>
      <c r="I122" s="2" t="n"/>
      <c r="J122" s="2" t="n"/>
      <c r="K122" s="2" t="n"/>
    </row>
    <row r="123">
      <c r="A123" s="2" t="n">
        <v>0</v>
      </c>
      <c r="B123" s="2" t="n"/>
      <c r="C123" s="2" t="n"/>
      <c r="D123" s="2" t="n"/>
      <c r="E123" s="2" t="n"/>
      <c r="F123" s="2" t="n"/>
      <c r="G123" s="2" t="n"/>
      <c r="H123" s="2" t="n"/>
      <c r="I123" s="2" t="n"/>
      <c r="J123" s="2" t="n"/>
      <c r="K123" s="2" t="n"/>
    </row>
    <row r="124">
      <c r="A124" s="2" t="n">
        <v>0</v>
      </c>
      <c r="B124" s="2" t="n"/>
      <c r="C124" s="2" t="n"/>
      <c r="D124" s="2" t="n"/>
      <c r="E124" s="2" t="n"/>
      <c r="F124" s="2" t="n"/>
      <c r="G124" s="2" t="n"/>
      <c r="H124" s="2" t="n"/>
      <c r="I124" s="2" t="n"/>
      <c r="J124" s="2" t="n"/>
      <c r="K124" s="2" t="n"/>
    </row>
    <row r="125">
      <c r="A125" s="2" t="n">
        <v>0</v>
      </c>
      <c r="B125" s="2" t="n"/>
      <c r="C125" s="2" t="n"/>
      <c r="D125" s="2" t="n"/>
      <c r="E125" s="2" t="n"/>
      <c r="F125" s="2" t="n"/>
      <c r="G125" s="2" t="n"/>
      <c r="H125" s="2" t="n"/>
      <c r="I125" s="2" t="n"/>
      <c r="J125" s="2" t="n"/>
      <c r="K125" s="2" t="n"/>
    </row>
    <row r="126">
      <c r="A126" s="2" t="n">
        <v>0</v>
      </c>
      <c r="B126" s="2" t="n"/>
      <c r="C126" s="2" t="n"/>
      <c r="D126" s="2" t="n"/>
      <c r="E126" s="2" t="n"/>
      <c r="F126" s="2" t="n"/>
      <c r="G126" s="2" t="n"/>
      <c r="H126" s="2" t="n"/>
      <c r="I126" s="2" t="n"/>
      <c r="J126" s="2" t="n"/>
      <c r="K126" s="2" t="n"/>
    </row>
    <row r="127">
      <c r="A127" s="2" t="n">
        <v>0</v>
      </c>
      <c r="B127" s="2" t="n"/>
      <c r="C127" s="2" t="n"/>
      <c r="D127" s="2" t="n"/>
      <c r="E127" s="2" t="n"/>
      <c r="F127" s="2" t="n"/>
      <c r="G127" s="2" t="n"/>
      <c r="H127" s="2" t="n"/>
      <c r="I127" s="2" t="n"/>
      <c r="J127" s="2" t="n"/>
      <c r="K127" s="2" t="n"/>
    </row>
    <row r="128">
      <c r="A128" s="2" t="n">
        <v>0</v>
      </c>
      <c r="B128" s="2" t="n"/>
      <c r="C128" s="2" t="n"/>
      <c r="D128" s="2" t="n"/>
      <c r="E128" s="2" t="n"/>
      <c r="F128" s="2" t="n"/>
      <c r="G128" s="2" t="n"/>
      <c r="H128" s="2" t="n"/>
      <c r="I128" s="2" t="n"/>
      <c r="J128" s="2" t="n"/>
      <c r="K128" s="2" t="n"/>
    </row>
    <row r="129">
      <c r="A129" s="2" t="n">
        <v>0</v>
      </c>
      <c r="B129" s="2" t="n"/>
      <c r="C129" s="2" t="n"/>
      <c r="D129" s="2" t="n"/>
      <c r="E129" s="2" t="n"/>
      <c r="F129" s="2" t="n"/>
      <c r="G129" s="2" t="n"/>
      <c r="H129" s="2" t="n"/>
      <c r="I129" s="2" t="n"/>
      <c r="J129" s="2" t="n"/>
      <c r="K129" s="2" t="n"/>
    </row>
    <row r="130">
      <c r="A130" s="2" t="n">
        <v>0</v>
      </c>
      <c r="B130" s="2" t="n"/>
      <c r="C130" s="2" t="n"/>
      <c r="D130" s="2" t="n"/>
      <c r="E130" s="2" t="n"/>
      <c r="F130" s="2" t="n"/>
      <c r="G130" s="2" t="n"/>
      <c r="H130" s="2" t="n"/>
      <c r="I130" s="2" t="n"/>
      <c r="J130" s="2" t="n"/>
      <c r="K130" s="2" t="n"/>
    </row>
    <row r="131">
      <c r="A131" s="2" t="n">
        <v>0</v>
      </c>
      <c r="B131" s="2" t="n"/>
      <c r="C131" s="2" t="n"/>
      <c r="D131" s="2" t="n"/>
      <c r="E131" s="2" t="n"/>
      <c r="F131" s="2" t="n"/>
      <c r="G131" s="2" t="n"/>
      <c r="H131" s="2" t="n"/>
      <c r="I131" s="2" t="n"/>
      <c r="J131" s="2" t="n"/>
      <c r="K131" s="2" t="n"/>
    </row>
    <row r="132">
      <c r="A132" s="5" t="n"/>
      <c r="B132" s="5" t="n"/>
      <c r="C132" s="5" t="n"/>
      <c r="D132" s="5" t="n"/>
      <c r="E132" s="5" t="n"/>
      <c r="F132" s="5" t="n"/>
      <c r="G132" s="5" t="n"/>
      <c r="H132" s="5" t="n"/>
      <c r="I132" s="5" t="n"/>
      <c r="J132" s="5" t="n"/>
      <c r="K132" s="5" t="n"/>
    </row>
    <row r="133">
      <c r="A133" s="9" t="inlineStr">
        <is>
          <t>End of wind_areas (40 rows). Keep the red guard row blank: anything typed there is counted as overflow on Checks. Spare rows: Active = 0, other cells blank.</t>
        </is>
      </c>
    </row>
    <row r="135">
      <c r="A135" s="6" t="inlineStr">
        <is>
          <t>Nodes</t>
        </is>
      </c>
      <c r="D135" t="inlineStr">
        <is>
          <t>Capacity</t>
        </is>
      </c>
      <c r="E135" s="4" t="n">
        <v>80</v>
      </c>
      <c r="F135" t="inlineStr">
        <is>
          <t>Rows not written (overflow)</t>
        </is>
      </c>
      <c r="G135" s="4" t="n">
        <v>0</v>
      </c>
    </row>
    <row r="136">
      <c r="A136" s="8" t="inlineStr">
        <is>
          <t>Active [1/0]</t>
        </is>
      </c>
      <c r="B136" s="8" t="inlineStr">
        <is>
          <t>Id</t>
        </is>
      </c>
      <c r="C136" s="8" t="inlineStr">
        <is>
          <t>Body</t>
        </is>
      </c>
      <c r="D136" s="8" t="inlineStr">
        <is>
          <t>Frame</t>
        </is>
      </c>
      <c r="E136" s="8" t="inlineStr">
        <is>
          <t>x [m]</t>
        </is>
      </c>
      <c r="F136" s="8" t="inlineStr">
        <is>
          <t>z [m]</t>
        </is>
      </c>
      <c r="G136" s="8" t="inlineStr">
        <is>
          <t>u (along boom) [m]</t>
        </is>
      </c>
      <c r="H136" s="8" t="inlineStr">
        <is>
          <t>w (boom normal) [m]</t>
        </is>
      </c>
      <c r="I136" s="8" t="inlineStr">
        <is>
          <t>Hangs below node</t>
        </is>
      </c>
      <c r="J136" s="8" t="inlineStr">
        <is>
          <t>Hanging drop [m]</t>
        </is>
      </c>
      <c r="K136" s="8" t="inlineStr">
        <is>
          <t>Spool node [1/0]</t>
        </is>
      </c>
    </row>
    <row r="137">
      <c r="A137" s="7" t="inlineStr">
        <is>
          <t>active (1 = row in use, 0 = spare)</t>
        </is>
      </c>
      <c r="B137" s="7" t="inlineStr">
        <is>
          <t>id</t>
        </is>
      </c>
      <c r="C137" s="7" t="inlineStr">
        <is>
          <t>body</t>
        </is>
      </c>
      <c r="D137" s="7" t="inlineStr">
        <is>
          <t>frame</t>
        </is>
      </c>
      <c r="E137" s="7" t="inlineStr">
        <is>
          <t>x_m</t>
        </is>
      </c>
      <c r="F137" s="7" t="inlineStr">
        <is>
          <t>z_m</t>
        </is>
      </c>
      <c r="G137" s="7" t="inlineStr">
        <is>
          <t>u_m</t>
        </is>
      </c>
      <c r="H137" s="7" t="inlineStr">
        <is>
          <t>w_m</t>
        </is>
      </c>
      <c r="I137" s="7" t="inlineStr">
        <is>
          <t>below_node_id</t>
        </is>
      </c>
      <c r="J137" s="7" t="inlineStr">
        <is>
          <t>hanging_drop_m (idle hooks; the active hook uses tackle)</t>
        </is>
      </c>
      <c r="K137" s="7" t="inlineStr">
        <is>
          <t>spool_node (holds the rope not reeved)</t>
        </is>
      </c>
    </row>
    <row r="138">
      <c r="A138" s="2" t="n">
        <v>1</v>
      </c>
      <c r="B138" s="2" t="inlineStr">
        <is>
          <t>bh_winch</t>
        </is>
      </c>
      <c r="C138" s="2" t="inlineStr">
        <is>
          <t>platform</t>
        </is>
      </c>
      <c r="D138" s="2" t="inlineStr">
        <is>
          <t>global</t>
        </is>
      </c>
      <c r="E138" s="2" t="n">
        <v>-8.35</v>
      </c>
      <c r="F138" s="2" t="n">
        <v>5.85</v>
      </c>
      <c r="G138" s="2" t="n"/>
      <c r="H138" s="2" t="n"/>
      <c r="I138" s="2" t="n"/>
      <c r="J138" s="2" t="n"/>
      <c r="K138" s="2" t="n">
        <v>1</v>
      </c>
    </row>
    <row r="139">
      <c r="A139" s="2" t="n">
        <v>1</v>
      </c>
      <c r="B139" s="2" t="inlineStr">
        <is>
          <t>bh_aframe_sheave_1</t>
        </is>
      </c>
      <c r="C139" s="2" t="inlineStr">
        <is>
          <t>rear_leg</t>
        </is>
      </c>
      <c r="D139" s="2" t="inlineStr">
        <is>
          <t>global</t>
        </is>
      </c>
      <c r="E139" s="2" t="n">
        <v>-9.4</v>
      </c>
      <c r="F139" s="2" t="n">
        <v>47</v>
      </c>
      <c r="G139" s="2" t="n"/>
      <c r="H139" s="2" t="n"/>
      <c r="I139" s="2" t="n"/>
      <c r="J139" s="2" t="n"/>
      <c r="K139" s="2" t="n">
        <v>0</v>
      </c>
    </row>
    <row r="140">
      <c r="A140" s="2" t="n">
        <v>1</v>
      </c>
      <c r="B140" s="2" t="inlineStr">
        <is>
          <t>bh_aframe_sheave_2</t>
        </is>
      </c>
      <c r="C140" s="2" t="inlineStr">
        <is>
          <t>rear_leg</t>
        </is>
      </c>
      <c r="D140" s="2" t="inlineStr">
        <is>
          <t>global</t>
        </is>
      </c>
      <c r="E140" s="2" t="n">
        <v>-11</v>
      </c>
      <c r="F140" s="2" t="n">
        <v>58.3</v>
      </c>
      <c r="G140" s="2" t="n"/>
      <c r="H140" s="2" t="n"/>
      <c r="I140" s="2" t="n"/>
      <c r="J140" s="2" t="n"/>
      <c r="K140" s="2" t="n">
        <v>0</v>
      </c>
    </row>
    <row r="141">
      <c r="A141" s="2" t="n">
        <v>1</v>
      </c>
      <c r="B141" s="2" t="inlineStr">
        <is>
          <t>bh_boom_sheave_3</t>
        </is>
      </c>
      <c r="C141" s="2" t="inlineStr">
        <is>
          <t>boom</t>
        </is>
      </c>
      <c r="D141" s="2" t="inlineStr">
        <is>
          <t>boom_local</t>
        </is>
      </c>
      <c r="E141" s="2" t="n"/>
      <c r="F141" s="2" t="n"/>
      <c r="G141" s="2" t="n">
        <v>153</v>
      </c>
      <c r="H141" s="2" t="n">
        <v>3.8</v>
      </c>
      <c r="I141" s="2" t="n"/>
      <c r="J141" s="2" t="n"/>
      <c r="K141" s="2" t="n">
        <v>0</v>
      </c>
    </row>
    <row r="142">
      <c r="A142" s="2" t="n">
        <v>1</v>
      </c>
      <c r="B142" s="2" t="inlineStr">
        <is>
          <t>mh_winch</t>
        </is>
      </c>
      <c r="C142" s="2" t="inlineStr">
        <is>
          <t>platform</t>
        </is>
      </c>
      <c r="D142" s="2" t="inlineStr">
        <is>
          <t>global</t>
        </is>
      </c>
      <c r="E142" s="2" t="n">
        <v>-8.374000000000001</v>
      </c>
      <c r="F142" s="2" t="n">
        <v>2.218</v>
      </c>
      <c r="G142" s="2" t="n"/>
      <c r="H142" s="2" t="n"/>
      <c r="I142" s="2" t="n"/>
      <c r="J142" s="2" t="n"/>
      <c r="K142" s="2" t="n">
        <v>1</v>
      </c>
    </row>
    <row r="143">
      <c r="A143" s="2" t="n">
        <v>1</v>
      </c>
      <c r="B143" s="2" t="inlineStr">
        <is>
          <t>mh_aframe_sheave_1</t>
        </is>
      </c>
      <c r="C143" s="2" t="inlineStr">
        <is>
          <t>rear_leg</t>
        </is>
      </c>
      <c r="D143" s="2" t="inlineStr">
        <is>
          <t>global</t>
        </is>
      </c>
      <c r="E143" s="2" t="n">
        <v>-7.5</v>
      </c>
      <c r="F143" s="2" t="n">
        <v>46.55</v>
      </c>
      <c r="G143" s="2" t="n"/>
      <c r="H143" s="2" t="n"/>
      <c r="I143" s="2" t="n"/>
      <c r="J143" s="2" t="n"/>
      <c r="K143" s="2" t="n">
        <v>0</v>
      </c>
    </row>
    <row r="144">
      <c r="A144" s="2" t="n">
        <v>1</v>
      </c>
      <c r="B144" s="2" t="inlineStr">
        <is>
          <t>mh_aframe_sheave_2</t>
        </is>
      </c>
      <c r="C144" s="2" t="inlineStr">
        <is>
          <t>front_leg</t>
        </is>
      </c>
      <c r="D144" s="2" t="inlineStr">
        <is>
          <t>global</t>
        </is>
      </c>
      <c r="E144" s="2" t="n">
        <v>8.5</v>
      </c>
      <c r="F144" s="2" t="n">
        <v>9.25</v>
      </c>
      <c r="G144" s="2" t="n"/>
      <c r="H144" s="2" t="n"/>
      <c r="I144" s="2" t="n"/>
      <c r="J144" s="2" t="n"/>
      <c r="K144" s="2" t="n">
        <v>0</v>
      </c>
    </row>
    <row r="145">
      <c r="A145" s="2" t="n">
        <v>1</v>
      </c>
      <c r="B145" s="2" t="inlineStr">
        <is>
          <t>mh_boom_sheave_3</t>
        </is>
      </c>
      <c r="C145" s="2" t="inlineStr">
        <is>
          <t>boom</t>
        </is>
      </c>
      <c r="D145" s="2" t="inlineStr">
        <is>
          <t>boom_local</t>
        </is>
      </c>
      <c r="E145" s="2" t="n"/>
      <c r="F145" s="2" t="n"/>
      <c r="G145" s="2" t="n">
        <v>23.5</v>
      </c>
      <c r="H145" s="2" t="n">
        <v>3.85</v>
      </c>
      <c r="I145" s="2" t="n"/>
      <c r="J145" s="2" t="n"/>
      <c r="K145" s="2" t="n">
        <v>0</v>
      </c>
    </row>
    <row r="146">
      <c r="A146" s="2" t="n">
        <v>1</v>
      </c>
      <c r="B146" s="2" t="inlineStr">
        <is>
          <t>mh_boom_sheave_4</t>
        </is>
      </c>
      <c r="C146" s="2" t="inlineStr">
        <is>
          <t>boom</t>
        </is>
      </c>
      <c r="D146" s="2" t="inlineStr">
        <is>
          <t>boom_local</t>
        </is>
      </c>
      <c r="E146" s="2" t="n"/>
      <c r="F146" s="2" t="n"/>
      <c r="G146" s="2" t="n">
        <v>155</v>
      </c>
      <c r="H146" s="2" t="n">
        <v>-6.05</v>
      </c>
      <c r="I146" s="2" t="n"/>
      <c r="J146" s="2" t="n"/>
      <c r="K146" s="2" t="n">
        <v>0</v>
      </c>
    </row>
    <row r="147">
      <c r="A147" s="2" t="n">
        <v>1</v>
      </c>
      <c r="B147" s="2" t="inlineStr">
        <is>
          <t>wh_winch</t>
        </is>
      </c>
      <c r="C147" s="2" t="inlineStr">
        <is>
          <t>platform</t>
        </is>
      </c>
      <c r="D147" s="2" t="inlineStr">
        <is>
          <t>global</t>
        </is>
      </c>
      <c r="E147" s="2" t="n">
        <v>-8.25</v>
      </c>
      <c r="F147" s="2" t="n">
        <v>8.32</v>
      </c>
      <c r="G147" s="2" t="n"/>
      <c r="H147" s="2" t="n"/>
      <c r="I147" s="2" t="n"/>
      <c r="J147" s="2" t="n"/>
      <c r="K147" s="2" t="n">
        <v>1</v>
      </c>
    </row>
    <row r="148">
      <c r="A148" s="2" t="n">
        <v>1</v>
      </c>
      <c r="B148" s="2" t="inlineStr">
        <is>
          <t>wh_aframe_sheave_1</t>
        </is>
      </c>
      <c r="C148" s="2" t="inlineStr">
        <is>
          <t>rear_leg</t>
        </is>
      </c>
      <c r="D148" s="2" t="inlineStr">
        <is>
          <t>global</t>
        </is>
      </c>
      <c r="E148" s="2" t="n">
        <v>-8.279999999999999</v>
      </c>
      <c r="F148" s="2" t="n">
        <v>49.3</v>
      </c>
      <c r="G148" s="2" t="n"/>
      <c r="H148" s="2" t="n"/>
      <c r="I148" s="2" t="n"/>
      <c r="J148" s="2" t="n"/>
      <c r="K148" s="2" t="n">
        <v>0</v>
      </c>
    </row>
    <row r="149">
      <c r="A149" s="2" t="n">
        <v>1</v>
      </c>
      <c r="B149" s="2" t="inlineStr">
        <is>
          <t>wh_aframe_sheave_2</t>
        </is>
      </c>
      <c r="C149" s="2" t="inlineStr">
        <is>
          <t>front_leg</t>
        </is>
      </c>
      <c r="D149" s="2" t="inlineStr">
        <is>
          <t>global</t>
        </is>
      </c>
      <c r="E149" s="2" t="n">
        <v>8.5</v>
      </c>
      <c r="F149" s="2" t="n">
        <v>9.25</v>
      </c>
      <c r="G149" s="2" t="n"/>
      <c r="H149" s="2" t="n"/>
      <c r="I149" s="2" t="n"/>
      <c r="J149" s="2" t="n"/>
      <c r="K149" s="2" t="n">
        <v>0</v>
      </c>
    </row>
    <row r="150">
      <c r="A150" s="2" t="n">
        <v>1</v>
      </c>
      <c r="B150" s="2" t="inlineStr">
        <is>
          <t>wh_boom_sheave_3</t>
        </is>
      </c>
      <c r="C150" s="2" t="inlineStr">
        <is>
          <t>boom</t>
        </is>
      </c>
      <c r="D150" s="2" t="inlineStr">
        <is>
          <t>boom_local</t>
        </is>
      </c>
      <c r="E150" s="2" t="n"/>
      <c r="F150" s="2" t="n"/>
      <c r="G150" s="2" t="n">
        <v>23.5</v>
      </c>
      <c r="H150" s="2" t="n">
        <v>3.85</v>
      </c>
      <c r="I150" s="2" t="n"/>
      <c r="J150" s="2" t="n"/>
      <c r="K150" s="2" t="n">
        <v>0</v>
      </c>
    </row>
    <row r="151">
      <c r="A151" s="2" t="n">
        <v>1</v>
      </c>
      <c r="B151" s="2" t="inlineStr">
        <is>
          <t>wh_boom_sheave_4</t>
        </is>
      </c>
      <c r="C151" s="2" t="inlineStr">
        <is>
          <t>boom</t>
        </is>
      </c>
      <c r="D151" s="2" t="inlineStr">
        <is>
          <t>boom_local</t>
        </is>
      </c>
      <c r="E151" s="2" t="n"/>
      <c r="F151" s="2" t="n"/>
      <c r="G151" s="2" t="n">
        <v>164</v>
      </c>
      <c r="H151" s="2" t="n">
        <v>-9.5</v>
      </c>
      <c r="I151" s="2" t="n"/>
      <c r="J151" s="2" t="n"/>
      <c r="K151" s="2" t="n">
        <v>0</v>
      </c>
    </row>
    <row r="152">
      <c r="A152" s="2" t="n">
        <v>1</v>
      </c>
      <c r="B152" s="2" t="inlineStr">
        <is>
          <t>sh_winch</t>
        </is>
      </c>
      <c r="C152" s="2" t="inlineStr">
        <is>
          <t>boom</t>
        </is>
      </c>
      <c r="D152" s="2" t="inlineStr">
        <is>
          <t>boom_local</t>
        </is>
      </c>
      <c r="E152" s="2" t="n"/>
      <c r="F152" s="2" t="n"/>
      <c r="G152" s="2" t="n">
        <v>77.8</v>
      </c>
      <c r="H152" s="2" t="n">
        <v>0</v>
      </c>
      <c r="I152" s="2" t="n"/>
      <c r="J152" s="2" t="n"/>
      <c r="K152" s="2" t="n">
        <v>1</v>
      </c>
    </row>
    <row r="153">
      <c r="A153" s="2" t="n">
        <v>1</v>
      </c>
      <c r="B153" s="2" t="inlineStr">
        <is>
          <t>sh_boom_sheave_1</t>
        </is>
      </c>
      <c r="C153" s="2" t="inlineStr">
        <is>
          <t>boom</t>
        </is>
      </c>
      <c r="D153" s="2" t="inlineStr">
        <is>
          <t>boom_local</t>
        </is>
      </c>
      <c r="E153" s="2" t="n"/>
      <c r="F153" s="2" t="n"/>
      <c r="G153" s="2" t="n">
        <v>155.6</v>
      </c>
      <c r="H153" s="2" t="n">
        <v>3.1</v>
      </c>
      <c r="I153" s="2" t="n"/>
      <c r="J153" s="2" t="n"/>
      <c r="K153" s="2" t="n">
        <v>0</v>
      </c>
    </row>
    <row r="154">
      <c r="A154" s="2" t="n">
        <v>1</v>
      </c>
      <c r="B154" s="2" t="inlineStr">
        <is>
          <t>sh_boom_sheave_2</t>
        </is>
      </c>
      <c r="C154" s="2" t="inlineStr">
        <is>
          <t>boom</t>
        </is>
      </c>
      <c r="D154" s="2" t="inlineStr">
        <is>
          <t>boom_local</t>
        </is>
      </c>
      <c r="E154" s="2" t="n"/>
      <c r="F154" s="2" t="n"/>
      <c r="G154" s="2" t="n">
        <v>160.8</v>
      </c>
      <c r="H154" s="2" t="n">
        <v>-8.33</v>
      </c>
      <c r="I154" s="2" t="n"/>
      <c r="J154" s="2" t="n"/>
      <c r="K154" s="2" t="n">
        <v>0</v>
      </c>
    </row>
    <row r="155">
      <c r="A155" s="2" t="n">
        <v>1</v>
      </c>
      <c r="B155" s="2" t="inlineStr">
        <is>
          <t>boom_heel</t>
        </is>
      </c>
      <c r="C155" s="2" t="inlineStr">
        <is>
          <t>boom</t>
        </is>
      </c>
      <c r="D155" s="2" t="inlineStr">
        <is>
          <t>global</t>
        </is>
      </c>
      <c r="E155" s="3">
        <f>Inputs!$B$14</f>
        <v/>
      </c>
      <c r="F155" s="3">
        <f>Inputs!$B$15</f>
        <v/>
      </c>
      <c r="G155" s="2" t="n"/>
      <c r="H155" s="2" t="n"/>
      <c r="I155" s="2" t="n"/>
      <c r="J155" s="2" t="n"/>
      <c r="K155" s="2" t="n">
        <v>0</v>
      </c>
    </row>
    <row r="156">
      <c r="A156" s="2" t="n">
        <v>1</v>
      </c>
      <c r="B156" s="2" t="inlineStr">
        <is>
          <t>rear_top</t>
        </is>
      </c>
      <c r="C156" s="2" t="inlineStr">
        <is>
          <t>rear_leg</t>
        </is>
      </c>
      <c r="D156" s="2" t="inlineStr">
        <is>
          <t>global</t>
        </is>
      </c>
      <c r="E156" s="3">
        <f>Inputs!$B$16</f>
        <v/>
      </c>
      <c r="F156" s="3">
        <f>Inputs!$B$17</f>
        <v/>
      </c>
      <c r="G156" s="2" t="n"/>
      <c r="H156" s="2" t="n"/>
      <c r="I156" s="2" t="n"/>
      <c r="J156" s="2" t="n"/>
      <c r="K156" s="2" t="n">
        <v>0</v>
      </c>
    </row>
    <row r="157">
      <c r="A157" s="2" t="n">
        <v>1</v>
      </c>
      <c r="B157" s="2" t="inlineStr">
        <is>
          <t>rear_base</t>
        </is>
      </c>
      <c r="C157" s="2" t="inlineStr">
        <is>
          <t>rear_leg</t>
        </is>
      </c>
      <c r="D157" s="2" t="inlineStr">
        <is>
          <t>global</t>
        </is>
      </c>
      <c r="E157" s="3">
        <f>Inputs!$B$18</f>
        <v/>
      </c>
      <c r="F157" s="3">
        <f>Inputs!$B$19</f>
        <v/>
      </c>
      <c r="G157" s="2" t="n"/>
      <c r="H157" s="2" t="n"/>
      <c r="I157" s="2" t="n"/>
      <c r="J157" s="2" t="n"/>
      <c r="K157" s="2" t="n">
        <v>0</v>
      </c>
    </row>
    <row r="158">
      <c r="A158" s="2" t="n">
        <v>1</v>
      </c>
      <c r="B158" s="2" t="inlineStr">
        <is>
          <t>front_base</t>
        </is>
      </c>
      <c r="C158" s="2" t="inlineStr">
        <is>
          <t>front_leg</t>
        </is>
      </c>
      <c r="D158" s="2" t="inlineStr">
        <is>
          <t>global</t>
        </is>
      </c>
      <c r="E158" s="3">
        <f>Inputs!$B$20</f>
        <v/>
      </c>
      <c r="F158" s="3">
        <f>Inputs!$B$21</f>
        <v/>
      </c>
      <c r="G158" s="2" t="n"/>
      <c r="H158" s="2" t="n"/>
      <c r="I158" s="2" t="n"/>
      <c r="J158" s="2" t="n"/>
      <c r="K158" s="2" t="n">
        <v>0</v>
      </c>
    </row>
    <row r="159">
      <c r="A159" s="2" t="n">
        <v>1</v>
      </c>
      <c r="B159" s="2" t="inlineStr">
        <is>
          <t>platform_base</t>
        </is>
      </c>
      <c r="C159" s="2" t="inlineStr">
        <is>
          <t>platform</t>
        </is>
      </c>
      <c r="D159" s="2" t="inlineStr">
        <is>
          <t>global</t>
        </is>
      </c>
      <c r="E159" s="3">
        <f>Inputs!$B$22</f>
        <v/>
      </c>
      <c r="F159" s="3">
        <f>Inputs!$B$23</f>
        <v/>
      </c>
      <c r="G159" s="2" t="n"/>
      <c r="H159" s="2" t="n"/>
      <c r="I159" s="2" t="n"/>
      <c r="J159" s="2" t="n"/>
      <c r="K159" s="2" t="n">
        <v>0</v>
      </c>
    </row>
    <row r="160">
      <c r="A160" s="2" t="n">
        <v>1</v>
      </c>
      <c r="B160" s="2" t="inlineStr">
        <is>
          <t>__hook__MH</t>
        </is>
      </c>
      <c r="C160" s="2" t="inlineStr">
        <is>
          <t>boom</t>
        </is>
      </c>
      <c r="D160" s="2" t="inlineStr">
        <is>
          <t>hanging</t>
        </is>
      </c>
      <c r="E160" s="2" t="n"/>
      <c r="F160" s="2" t="n"/>
      <c r="G160" s="2" t="n"/>
      <c r="H160" s="2" t="n"/>
      <c r="I160" s="2" t="inlineStr">
        <is>
          <t>mh_boom_sheave_4</t>
        </is>
      </c>
      <c r="J160" s="2" t="n">
        <v>1</v>
      </c>
      <c r="K160" s="2" t="n">
        <v>0</v>
      </c>
    </row>
    <row r="161">
      <c r="A161" s="2" t="n">
        <v>1</v>
      </c>
      <c r="B161" s="2" t="inlineStr">
        <is>
          <t>__hook__WH</t>
        </is>
      </c>
      <c r="C161" s="2" t="inlineStr">
        <is>
          <t>boom</t>
        </is>
      </c>
      <c r="D161" s="2" t="inlineStr">
        <is>
          <t>hanging</t>
        </is>
      </c>
      <c r="E161" s="2" t="n"/>
      <c r="F161" s="2" t="n"/>
      <c r="G161" s="2" t="n"/>
      <c r="H161" s="2" t="n"/>
      <c r="I161" s="2" t="inlineStr">
        <is>
          <t>wh_boom_sheave_4</t>
        </is>
      </c>
      <c r="J161" s="2" t="n">
        <v>1</v>
      </c>
      <c r="K161" s="2" t="n">
        <v>0</v>
      </c>
    </row>
    <row r="162">
      <c r="A162" s="2" t="n">
        <v>1</v>
      </c>
      <c r="B162" s="2" t="inlineStr">
        <is>
          <t>__hook__SH</t>
        </is>
      </c>
      <c r="C162" s="2" t="inlineStr">
        <is>
          <t>boom</t>
        </is>
      </c>
      <c r="D162" s="2" t="inlineStr">
        <is>
          <t>hanging</t>
        </is>
      </c>
      <c r="E162" s="2" t="n"/>
      <c r="F162" s="2" t="n"/>
      <c r="G162" s="2" t="n"/>
      <c r="H162" s="2" t="n"/>
      <c r="I162" s="2" t="inlineStr">
        <is>
          <t>sh_boom_sheave_2</t>
        </is>
      </c>
      <c r="J162" s="2" t="n">
        <v>1</v>
      </c>
      <c r="K162" s="2" t="n">
        <v>0</v>
      </c>
    </row>
    <row r="163">
      <c r="A163" s="2" t="n">
        <v>1</v>
      </c>
      <c r="B163" s="2" t="inlineStr">
        <is>
          <t>front_top</t>
        </is>
      </c>
      <c r="C163" s="2" t="inlineStr">
        <is>
          <t>front_leg</t>
        </is>
      </c>
      <c r="D163" s="2" t="inlineStr">
        <is>
          <t>global</t>
        </is>
      </c>
      <c r="E163" s="3">
        <f>Inputs!$B$16</f>
        <v/>
      </c>
      <c r="F163" s="3">
        <f>Inputs!$B$17</f>
        <v/>
      </c>
      <c r="G163" s="2" t="n"/>
      <c r="H163" s="2" t="n"/>
      <c r="I163" s="2" t="n"/>
      <c r="J163" s="2" t="n"/>
      <c r="K163" s="2" t="n">
        <v>0</v>
      </c>
    </row>
    <row r="164">
      <c r="A164" s="2" t="n">
        <v>1</v>
      </c>
      <c r="B164" s="2" t="inlineStr">
        <is>
          <t>platform_rear</t>
        </is>
      </c>
      <c r="C164" s="2" t="inlineStr">
        <is>
          <t>platform</t>
        </is>
      </c>
      <c r="D164" s="2" t="inlineStr">
        <is>
          <t>global</t>
        </is>
      </c>
      <c r="E164" s="3">
        <f>Inputs!$B$18</f>
        <v/>
      </c>
      <c r="F164" s="3">
        <f>Inputs!$B$19</f>
        <v/>
      </c>
      <c r="G164" s="2" t="n"/>
      <c r="H164" s="2" t="n"/>
      <c r="I164" s="2" t="n"/>
      <c r="J164" s="2" t="n"/>
      <c r="K164" s="2" t="n">
        <v>0</v>
      </c>
    </row>
    <row r="165">
      <c r="A165" s="2" t="n">
        <v>1</v>
      </c>
      <c r="B165" s="2" t="inlineStr">
        <is>
          <t>platform_front</t>
        </is>
      </c>
      <c r="C165" s="2" t="inlineStr">
        <is>
          <t>platform</t>
        </is>
      </c>
      <c r="D165" s="2" t="inlineStr">
        <is>
          <t>global</t>
        </is>
      </c>
      <c r="E165" s="3">
        <f>Inputs!$B$20</f>
        <v/>
      </c>
      <c r="F165" s="3">
        <f>Inputs!$B$21</f>
        <v/>
      </c>
      <c r="G165" s="2" t="n"/>
      <c r="H165" s="2" t="n"/>
      <c r="I165" s="2" t="n"/>
      <c r="J165" s="2" t="n"/>
      <c r="K165" s="2" t="n">
        <v>0</v>
      </c>
    </row>
    <row r="166">
      <c r="A166" s="2" t="n">
        <v>1</v>
      </c>
      <c r="B166" s="2" t="inlineStr">
        <is>
          <t>platform_heel</t>
        </is>
      </c>
      <c r="C166" s="2" t="inlineStr">
        <is>
          <t>platform</t>
        </is>
      </c>
      <c r="D166" s="2" t="inlineStr">
        <is>
          <t>global</t>
        </is>
      </c>
      <c r="E166" s="3">
        <f>Inputs!$B$14</f>
        <v/>
      </c>
      <c r="F166" s="3">
        <f>Inputs!$B$15</f>
        <v/>
      </c>
      <c r="G166" s="2" t="n"/>
      <c r="H166" s="2" t="n"/>
      <c r="I166" s="2" t="n"/>
      <c r="J166" s="2" t="n"/>
      <c r="K166" s="2" t="n">
        <v>0</v>
      </c>
    </row>
    <row r="167">
      <c r="A167" s="2" t="n">
        <v>0</v>
      </c>
      <c r="B167" s="2" t="n"/>
      <c r="C167" s="2" t="n"/>
      <c r="D167" s="2" t="n"/>
      <c r="E167" s="2" t="n"/>
      <c r="F167" s="2" t="n"/>
      <c r="G167" s="2" t="n"/>
      <c r="H167" s="2" t="n"/>
      <c r="I167" s="2" t="n"/>
      <c r="J167" s="2" t="n"/>
      <c r="K167" s="2" t="n"/>
    </row>
    <row r="168">
      <c r="A168" s="2" t="n">
        <v>0</v>
      </c>
      <c r="B168" s="2" t="n"/>
      <c r="C168" s="2" t="n"/>
      <c r="D168" s="2" t="n"/>
      <c r="E168" s="2" t="n"/>
      <c r="F168" s="2" t="n"/>
      <c r="G168" s="2" t="n"/>
      <c r="H168" s="2" t="n"/>
      <c r="I168" s="2" t="n"/>
      <c r="J168" s="2" t="n"/>
      <c r="K168" s="2" t="n"/>
    </row>
    <row r="169">
      <c r="A169" s="2" t="n">
        <v>0</v>
      </c>
      <c r="B169" s="2" t="n"/>
      <c r="C169" s="2" t="n"/>
      <c r="D169" s="2" t="n"/>
      <c r="E169" s="2" t="n"/>
      <c r="F169" s="2" t="n"/>
      <c r="G169" s="2" t="n"/>
      <c r="H169" s="2" t="n"/>
      <c r="I169" s="2" t="n"/>
      <c r="J169" s="2" t="n"/>
      <c r="K169" s="2" t="n"/>
    </row>
    <row r="170">
      <c r="A170" s="2" t="n">
        <v>0</v>
      </c>
      <c r="B170" s="2" t="n"/>
      <c r="C170" s="2" t="n"/>
      <c r="D170" s="2" t="n"/>
      <c r="E170" s="2" t="n"/>
      <c r="F170" s="2" t="n"/>
      <c r="G170" s="2" t="n"/>
      <c r="H170" s="2" t="n"/>
      <c r="I170" s="2" t="n"/>
      <c r="J170" s="2" t="n"/>
      <c r="K170" s="2" t="n"/>
    </row>
    <row r="171">
      <c r="A171" s="2" t="n">
        <v>0</v>
      </c>
      <c r="B171" s="2" t="n"/>
      <c r="C171" s="2" t="n"/>
      <c r="D171" s="2" t="n"/>
      <c r="E171" s="2" t="n"/>
      <c r="F171" s="2" t="n"/>
      <c r="G171" s="2" t="n"/>
      <c r="H171" s="2" t="n"/>
      <c r="I171" s="2" t="n"/>
      <c r="J171" s="2" t="n"/>
      <c r="K171" s="2" t="n"/>
    </row>
    <row r="172">
      <c r="A172" s="2" t="n">
        <v>0</v>
      </c>
      <c r="B172" s="2" t="n"/>
      <c r="C172" s="2" t="n"/>
      <c r="D172" s="2" t="n"/>
      <c r="E172" s="2" t="n"/>
      <c r="F172" s="2" t="n"/>
      <c r="G172" s="2" t="n"/>
      <c r="H172" s="2" t="n"/>
      <c r="I172" s="2" t="n"/>
      <c r="J172" s="2" t="n"/>
      <c r="K172" s="2" t="n"/>
    </row>
    <row r="173">
      <c r="A173" s="2" t="n">
        <v>0</v>
      </c>
      <c r="B173" s="2" t="n"/>
      <c r="C173" s="2" t="n"/>
      <c r="D173" s="2" t="n"/>
      <c r="E173" s="2" t="n"/>
      <c r="F173" s="2" t="n"/>
      <c r="G173" s="2" t="n"/>
      <c r="H173" s="2" t="n"/>
      <c r="I173" s="2" t="n"/>
      <c r="J173" s="2" t="n"/>
      <c r="K173" s="2" t="n"/>
    </row>
    <row r="174">
      <c r="A174" s="2" t="n">
        <v>0</v>
      </c>
      <c r="B174" s="2" t="n"/>
      <c r="C174" s="2" t="n"/>
      <c r="D174" s="2" t="n"/>
      <c r="E174" s="2" t="n"/>
      <c r="F174" s="2" t="n"/>
      <c r="G174" s="2" t="n"/>
      <c r="H174" s="2" t="n"/>
      <c r="I174" s="2" t="n"/>
      <c r="J174" s="2" t="n"/>
      <c r="K174" s="2" t="n"/>
    </row>
    <row r="175">
      <c r="A175" s="2" t="n">
        <v>0</v>
      </c>
      <c r="B175" s="2" t="n"/>
      <c r="C175" s="2" t="n"/>
      <c r="D175" s="2" t="n"/>
      <c r="E175" s="2" t="n"/>
      <c r="F175" s="2" t="n"/>
      <c r="G175" s="2" t="n"/>
      <c r="H175" s="2" t="n"/>
      <c r="I175" s="2" t="n"/>
      <c r="J175" s="2" t="n"/>
      <c r="K175" s="2" t="n"/>
    </row>
    <row r="176">
      <c r="A176" s="2" t="n">
        <v>0</v>
      </c>
      <c r="B176" s="2" t="n"/>
      <c r="C176" s="2" t="n"/>
      <c r="D176" s="2" t="n"/>
      <c r="E176" s="2" t="n"/>
      <c r="F176" s="2" t="n"/>
      <c r="G176" s="2" t="n"/>
      <c r="H176" s="2" t="n"/>
      <c r="I176" s="2" t="n"/>
      <c r="J176" s="2" t="n"/>
      <c r="K176" s="2" t="n"/>
    </row>
    <row r="177">
      <c r="A177" s="2" t="n">
        <v>0</v>
      </c>
      <c r="B177" s="2" t="n"/>
      <c r="C177" s="2" t="n"/>
      <c r="D177" s="2" t="n"/>
      <c r="E177" s="2" t="n"/>
      <c r="F177" s="2" t="n"/>
      <c r="G177" s="2" t="n"/>
      <c r="H177" s="2" t="n"/>
      <c r="I177" s="2" t="n"/>
      <c r="J177" s="2" t="n"/>
      <c r="K177" s="2" t="n"/>
    </row>
    <row r="178">
      <c r="A178" s="2" t="n">
        <v>0</v>
      </c>
      <c r="B178" s="2" t="n"/>
      <c r="C178" s="2" t="n"/>
      <c r="D178" s="2" t="n"/>
      <c r="E178" s="2" t="n"/>
      <c r="F178" s="2" t="n"/>
      <c r="G178" s="2" t="n"/>
      <c r="H178" s="2" t="n"/>
      <c r="I178" s="2" t="n"/>
      <c r="J178" s="2" t="n"/>
      <c r="K178" s="2" t="n"/>
    </row>
    <row r="179">
      <c r="A179" s="2" t="n">
        <v>0</v>
      </c>
      <c r="B179" s="2" t="n"/>
      <c r="C179" s="2" t="n"/>
      <c r="D179" s="2" t="n"/>
      <c r="E179" s="2" t="n"/>
      <c r="F179" s="2" t="n"/>
      <c r="G179" s="2" t="n"/>
      <c r="H179" s="2" t="n"/>
      <c r="I179" s="2" t="n"/>
      <c r="J179" s="2" t="n"/>
      <c r="K179" s="2" t="n"/>
    </row>
    <row r="180">
      <c r="A180" s="2" t="n">
        <v>0</v>
      </c>
      <c r="B180" s="2" t="n"/>
      <c r="C180" s="2" t="n"/>
      <c r="D180" s="2" t="n"/>
      <c r="E180" s="2" t="n"/>
      <c r="F180" s="2" t="n"/>
      <c r="G180" s="2" t="n"/>
      <c r="H180" s="2" t="n"/>
      <c r="I180" s="2" t="n"/>
      <c r="J180" s="2" t="n"/>
      <c r="K180" s="2" t="n"/>
    </row>
    <row r="181">
      <c r="A181" s="2" t="n">
        <v>0</v>
      </c>
      <c r="B181" s="2" t="n"/>
      <c r="C181" s="2" t="n"/>
      <c r="D181" s="2" t="n"/>
      <c r="E181" s="2" t="n"/>
      <c r="F181" s="2" t="n"/>
      <c r="G181" s="2" t="n"/>
      <c r="H181" s="2" t="n"/>
      <c r="I181" s="2" t="n"/>
      <c r="J181" s="2" t="n"/>
      <c r="K181" s="2" t="n"/>
    </row>
    <row r="182">
      <c r="A182" s="2" t="n">
        <v>0</v>
      </c>
      <c r="B182" s="2" t="n"/>
      <c r="C182" s="2" t="n"/>
      <c r="D182" s="2" t="n"/>
      <c r="E182" s="2" t="n"/>
      <c r="F182" s="2" t="n"/>
      <c r="G182" s="2" t="n"/>
      <c r="H182" s="2" t="n"/>
      <c r="I182" s="2" t="n"/>
      <c r="J182" s="2" t="n"/>
      <c r="K182" s="2" t="n"/>
    </row>
    <row r="183">
      <c r="A183" s="2" t="n">
        <v>0</v>
      </c>
      <c r="B183" s="2" t="n"/>
      <c r="C183" s="2" t="n"/>
      <c r="D183" s="2" t="n"/>
      <c r="E183" s="2" t="n"/>
      <c r="F183" s="2" t="n"/>
      <c r="G183" s="2" t="n"/>
      <c r="H183" s="2" t="n"/>
      <c r="I183" s="2" t="n"/>
      <c r="J183" s="2" t="n"/>
      <c r="K183" s="2" t="n"/>
    </row>
    <row r="184">
      <c r="A184" s="2" t="n">
        <v>0</v>
      </c>
      <c r="B184" s="2" t="n"/>
      <c r="C184" s="2" t="n"/>
      <c r="D184" s="2" t="n"/>
      <c r="E184" s="2" t="n"/>
      <c r="F184" s="2" t="n"/>
      <c r="G184" s="2" t="n"/>
      <c r="H184" s="2" t="n"/>
      <c r="I184" s="2" t="n"/>
      <c r="J184" s="2" t="n"/>
      <c r="K184" s="2" t="n"/>
    </row>
    <row r="185">
      <c r="A185" s="2" t="n">
        <v>0</v>
      </c>
      <c r="B185" s="2" t="n"/>
      <c r="C185" s="2" t="n"/>
      <c r="D185" s="2" t="n"/>
      <c r="E185" s="2" t="n"/>
      <c r="F185" s="2" t="n"/>
      <c r="G185" s="2" t="n"/>
      <c r="H185" s="2" t="n"/>
      <c r="I185" s="2" t="n"/>
      <c r="J185" s="2" t="n"/>
      <c r="K185" s="2" t="n"/>
    </row>
    <row r="186">
      <c r="A186" s="2" t="n">
        <v>0</v>
      </c>
      <c r="B186" s="2" t="n"/>
      <c r="C186" s="2" t="n"/>
      <c r="D186" s="2" t="n"/>
      <c r="E186" s="2" t="n"/>
      <c r="F186" s="2" t="n"/>
      <c r="G186" s="2" t="n"/>
      <c r="H186" s="2" t="n"/>
      <c r="I186" s="2" t="n"/>
      <c r="J186" s="2" t="n"/>
      <c r="K186" s="2" t="n"/>
    </row>
    <row r="187">
      <c r="A187" s="2" t="n">
        <v>0</v>
      </c>
      <c r="B187" s="2" t="n"/>
      <c r="C187" s="2" t="n"/>
      <c r="D187" s="2" t="n"/>
      <c r="E187" s="2" t="n"/>
      <c r="F187" s="2" t="n"/>
      <c r="G187" s="2" t="n"/>
      <c r="H187" s="2" t="n"/>
      <c r="I187" s="2" t="n"/>
      <c r="J187" s="2" t="n"/>
      <c r="K187" s="2" t="n"/>
    </row>
    <row r="188">
      <c r="A188" s="2" t="n">
        <v>0</v>
      </c>
      <c r="B188" s="2" t="n"/>
      <c r="C188" s="2" t="n"/>
      <c r="D188" s="2" t="n"/>
      <c r="E188" s="2" t="n"/>
      <c r="F188" s="2" t="n"/>
      <c r="G188" s="2" t="n"/>
      <c r="H188" s="2" t="n"/>
      <c r="I188" s="2" t="n"/>
      <c r="J188" s="2" t="n"/>
      <c r="K188" s="2" t="n"/>
    </row>
    <row r="189">
      <c r="A189" s="2" t="n">
        <v>0</v>
      </c>
      <c r="B189" s="2" t="n"/>
      <c r="C189" s="2" t="n"/>
      <c r="D189" s="2" t="n"/>
      <c r="E189" s="2" t="n"/>
      <c r="F189" s="2" t="n"/>
      <c r="G189" s="2" t="n"/>
      <c r="H189" s="2" t="n"/>
      <c r="I189" s="2" t="n"/>
      <c r="J189" s="2" t="n"/>
      <c r="K189" s="2" t="n"/>
    </row>
    <row r="190">
      <c r="A190" s="2" t="n">
        <v>0</v>
      </c>
      <c r="B190" s="2" t="n"/>
      <c r="C190" s="2" t="n"/>
      <c r="D190" s="2" t="n"/>
      <c r="E190" s="2" t="n"/>
      <c r="F190" s="2" t="n"/>
      <c r="G190" s="2" t="n"/>
      <c r="H190" s="2" t="n"/>
      <c r="I190" s="2" t="n"/>
      <c r="J190" s="2" t="n"/>
      <c r="K190" s="2" t="n"/>
    </row>
    <row r="191">
      <c r="A191" s="2" t="n">
        <v>0</v>
      </c>
      <c r="B191" s="2" t="n"/>
      <c r="C191" s="2" t="n"/>
      <c r="D191" s="2" t="n"/>
      <c r="E191" s="2" t="n"/>
      <c r="F191" s="2" t="n"/>
      <c r="G191" s="2" t="n"/>
      <c r="H191" s="2" t="n"/>
      <c r="I191" s="2" t="n"/>
      <c r="J191" s="2" t="n"/>
      <c r="K191" s="2" t="n"/>
    </row>
    <row r="192">
      <c r="A192" s="2" t="n">
        <v>0</v>
      </c>
      <c r="B192" s="2" t="n"/>
      <c r="C192" s="2" t="n"/>
      <c r="D192" s="2" t="n"/>
      <c r="E192" s="2" t="n"/>
      <c r="F192" s="2" t="n"/>
      <c r="G192" s="2" t="n"/>
      <c r="H192" s="2" t="n"/>
      <c r="I192" s="2" t="n"/>
      <c r="J192" s="2" t="n"/>
      <c r="K192" s="2" t="n"/>
    </row>
    <row r="193">
      <c r="A193" s="2" t="n">
        <v>0</v>
      </c>
      <c r="B193" s="2" t="n"/>
      <c r="C193" s="2" t="n"/>
      <c r="D193" s="2" t="n"/>
      <c r="E193" s="2" t="n"/>
      <c r="F193" s="2" t="n"/>
      <c r="G193" s="2" t="n"/>
      <c r="H193" s="2" t="n"/>
      <c r="I193" s="2" t="n"/>
      <c r="J193" s="2" t="n"/>
      <c r="K193" s="2" t="n"/>
    </row>
    <row r="194">
      <c r="A194" s="2" t="n">
        <v>0</v>
      </c>
      <c r="B194" s="2" t="n"/>
      <c r="C194" s="2" t="n"/>
      <c r="D194" s="2" t="n"/>
      <c r="E194" s="2" t="n"/>
      <c r="F194" s="2" t="n"/>
      <c r="G194" s="2" t="n"/>
      <c r="H194" s="2" t="n"/>
      <c r="I194" s="2" t="n"/>
      <c r="J194" s="2" t="n"/>
      <c r="K194" s="2" t="n"/>
    </row>
    <row r="195">
      <c r="A195" s="2" t="n">
        <v>0</v>
      </c>
      <c r="B195" s="2" t="n"/>
      <c r="C195" s="2" t="n"/>
      <c r="D195" s="2" t="n"/>
      <c r="E195" s="2" t="n"/>
      <c r="F195" s="2" t="n"/>
      <c r="G195" s="2" t="n"/>
      <c r="H195" s="2" t="n"/>
      <c r="I195" s="2" t="n"/>
      <c r="J195" s="2" t="n"/>
      <c r="K195" s="2" t="n"/>
    </row>
    <row r="196">
      <c r="A196" s="2" t="n">
        <v>0</v>
      </c>
      <c r="B196" s="2" t="n"/>
      <c r="C196" s="2" t="n"/>
      <c r="D196" s="2" t="n"/>
      <c r="E196" s="2" t="n"/>
      <c r="F196" s="2" t="n"/>
      <c r="G196" s="2" t="n"/>
      <c r="H196" s="2" t="n"/>
      <c r="I196" s="2" t="n"/>
      <c r="J196" s="2" t="n"/>
      <c r="K196" s="2" t="n"/>
    </row>
    <row r="197">
      <c r="A197" s="2" t="n">
        <v>0</v>
      </c>
      <c r="B197" s="2" t="n"/>
      <c r="C197" s="2" t="n"/>
      <c r="D197" s="2" t="n"/>
      <c r="E197" s="2" t="n"/>
      <c r="F197" s="2" t="n"/>
      <c r="G197" s="2" t="n"/>
      <c r="H197" s="2" t="n"/>
      <c r="I197" s="2" t="n"/>
      <c r="J197" s="2" t="n"/>
      <c r="K197" s="2" t="n"/>
    </row>
    <row r="198">
      <c r="A198" s="2" t="n">
        <v>0</v>
      </c>
      <c r="B198" s="2" t="n"/>
      <c r="C198" s="2" t="n"/>
      <c r="D198" s="2" t="n"/>
      <c r="E198" s="2" t="n"/>
      <c r="F198" s="2" t="n"/>
      <c r="G198" s="2" t="n"/>
      <c r="H198" s="2" t="n"/>
      <c r="I198" s="2" t="n"/>
      <c r="J198" s="2" t="n"/>
      <c r="K198" s="2" t="n"/>
    </row>
    <row r="199">
      <c r="A199" s="2" t="n">
        <v>0</v>
      </c>
      <c r="B199" s="2" t="n"/>
      <c r="C199" s="2" t="n"/>
      <c r="D199" s="2" t="n"/>
      <c r="E199" s="2" t="n"/>
      <c r="F199" s="2" t="n"/>
      <c r="G199" s="2" t="n"/>
      <c r="H199" s="2" t="n"/>
      <c r="I199" s="2" t="n"/>
      <c r="J199" s="2" t="n"/>
      <c r="K199" s="2" t="n"/>
    </row>
    <row r="200">
      <c r="A200" s="2" t="n">
        <v>0</v>
      </c>
      <c r="B200" s="2" t="n"/>
      <c r="C200" s="2" t="n"/>
      <c r="D200" s="2" t="n"/>
      <c r="E200" s="2" t="n"/>
      <c r="F200" s="2" t="n"/>
      <c r="G200" s="2" t="n"/>
      <c r="H200" s="2" t="n"/>
      <c r="I200" s="2" t="n"/>
      <c r="J200" s="2" t="n"/>
      <c r="K200" s="2" t="n"/>
    </row>
    <row r="201">
      <c r="A201" s="2" t="n">
        <v>0</v>
      </c>
      <c r="B201" s="2" t="n"/>
      <c r="C201" s="2" t="n"/>
      <c r="D201" s="2" t="n"/>
      <c r="E201" s="2" t="n"/>
      <c r="F201" s="2" t="n"/>
      <c r="G201" s="2" t="n"/>
      <c r="H201" s="2" t="n"/>
      <c r="I201" s="2" t="n"/>
      <c r="J201" s="2" t="n"/>
      <c r="K201" s="2" t="n"/>
    </row>
    <row r="202">
      <c r="A202" s="2" t="n">
        <v>0</v>
      </c>
      <c r="B202" s="2" t="n"/>
      <c r="C202" s="2" t="n"/>
      <c r="D202" s="2" t="n"/>
      <c r="E202" s="2" t="n"/>
      <c r="F202" s="2" t="n"/>
      <c r="G202" s="2" t="n"/>
      <c r="H202" s="2" t="n"/>
      <c r="I202" s="2" t="n"/>
      <c r="J202" s="2" t="n"/>
      <c r="K202" s="2" t="n"/>
    </row>
    <row r="203">
      <c r="A203" s="2" t="n">
        <v>0</v>
      </c>
      <c r="B203" s="2" t="n"/>
      <c r="C203" s="2" t="n"/>
      <c r="D203" s="2" t="n"/>
      <c r="E203" s="2" t="n"/>
      <c r="F203" s="2" t="n"/>
      <c r="G203" s="2" t="n"/>
      <c r="H203" s="2" t="n"/>
      <c r="I203" s="2" t="n"/>
      <c r="J203" s="2" t="n"/>
      <c r="K203" s="2" t="n"/>
    </row>
    <row r="204">
      <c r="A204" s="2" t="n">
        <v>0</v>
      </c>
      <c r="B204" s="2" t="n"/>
      <c r="C204" s="2" t="n"/>
      <c r="D204" s="2" t="n"/>
      <c r="E204" s="2" t="n"/>
      <c r="F204" s="2" t="n"/>
      <c r="G204" s="2" t="n"/>
      <c r="H204" s="2" t="n"/>
      <c r="I204" s="2" t="n"/>
      <c r="J204" s="2" t="n"/>
      <c r="K204" s="2" t="n"/>
    </row>
    <row r="205">
      <c r="A205" s="2" t="n">
        <v>0</v>
      </c>
      <c r="B205" s="2" t="n"/>
      <c r="C205" s="2" t="n"/>
      <c r="D205" s="2" t="n"/>
      <c r="E205" s="2" t="n"/>
      <c r="F205" s="2" t="n"/>
      <c r="G205" s="2" t="n"/>
      <c r="H205" s="2" t="n"/>
      <c r="I205" s="2" t="n"/>
      <c r="J205" s="2" t="n"/>
      <c r="K205" s="2" t="n"/>
    </row>
    <row r="206">
      <c r="A206" s="2" t="n">
        <v>0</v>
      </c>
      <c r="B206" s="2" t="n"/>
      <c r="C206" s="2" t="n"/>
      <c r="D206" s="2" t="n"/>
      <c r="E206" s="2" t="n"/>
      <c r="F206" s="2" t="n"/>
      <c r="G206" s="2" t="n"/>
      <c r="H206" s="2" t="n"/>
      <c r="I206" s="2" t="n"/>
      <c r="J206" s="2" t="n"/>
      <c r="K206" s="2" t="n"/>
    </row>
    <row r="207">
      <c r="A207" s="2" t="n">
        <v>0</v>
      </c>
      <c r="B207" s="2" t="n"/>
      <c r="C207" s="2" t="n"/>
      <c r="D207" s="2" t="n"/>
      <c r="E207" s="2" t="n"/>
      <c r="F207" s="2" t="n"/>
      <c r="G207" s="2" t="n"/>
      <c r="H207" s="2" t="n"/>
      <c r="I207" s="2" t="n"/>
      <c r="J207" s="2" t="n"/>
      <c r="K207" s="2" t="n"/>
    </row>
    <row r="208">
      <c r="A208" s="2" t="n">
        <v>0</v>
      </c>
      <c r="B208" s="2" t="n"/>
      <c r="C208" s="2" t="n"/>
      <c r="D208" s="2" t="n"/>
      <c r="E208" s="2" t="n"/>
      <c r="F208" s="2" t="n"/>
      <c r="G208" s="2" t="n"/>
      <c r="H208" s="2" t="n"/>
      <c r="I208" s="2" t="n"/>
      <c r="J208" s="2" t="n"/>
      <c r="K208" s="2" t="n"/>
    </row>
    <row r="209">
      <c r="A209" s="2" t="n">
        <v>0</v>
      </c>
      <c r="B209" s="2" t="n"/>
      <c r="C209" s="2" t="n"/>
      <c r="D209" s="2" t="n"/>
      <c r="E209" s="2" t="n"/>
      <c r="F209" s="2" t="n"/>
      <c r="G209" s="2" t="n"/>
      <c r="H209" s="2" t="n"/>
      <c r="I209" s="2" t="n"/>
      <c r="J209" s="2" t="n"/>
      <c r="K209" s="2" t="n"/>
    </row>
    <row r="210">
      <c r="A210" s="2" t="n">
        <v>0</v>
      </c>
      <c r="B210" s="2" t="n"/>
      <c r="C210" s="2" t="n"/>
      <c r="D210" s="2" t="n"/>
      <c r="E210" s="2" t="n"/>
      <c r="F210" s="2" t="n"/>
      <c r="G210" s="2" t="n"/>
      <c r="H210" s="2" t="n"/>
      <c r="I210" s="2" t="n"/>
      <c r="J210" s="2" t="n"/>
      <c r="K210" s="2" t="n"/>
    </row>
    <row r="211">
      <c r="A211" s="2" t="n">
        <v>0</v>
      </c>
      <c r="B211" s="2" t="n"/>
      <c r="C211" s="2" t="n"/>
      <c r="D211" s="2" t="n"/>
      <c r="E211" s="2" t="n"/>
      <c r="F211" s="2" t="n"/>
      <c r="G211" s="2" t="n"/>
      <c r="H211" s="2" t="n"/>
      <c r="I211" s="2" t="n"/>
      <c r="J211" s="2" t="n"/>
      <c r="K211" s="2" t="n"/>
    </row>
    <row r="212">
      <c r="A212" s="2" t="n">
        <v>0</v>
      </c>
      <c r="B212" s="2" t="n"/>
      <c r="C212" s="2" t="n"/>
      <c r="D212" s="2" t="n"/>
      <c r="E212" s="2" t="n"/>
      <c r="F212" s="2" t="n"/>
      <c r="G212" s="2" t="n"/>
      <c r="H212" s="2" t="n"/>
      <c r="I212" s="2" t="n"/>
      <c r="J212" s="2" t="n"/>
      <c r="K212" s="2" t="n"/>
    </row>
    <row r="213">
      <c r="A213" s="2" t="n">
        <v>0</v>
      </c>
      <c r="B213" s="2" t="n"/>
      <c r="C213" s="2" t="n"/>
      <c r="D213" s="2" t="n"/>
      <c r="E213" s="2" t="n"/>
      <c r="F213" s="2" t="n"/>
      <c r="G213" s="2" t="n"/>
      <c r="H213" s="2" t="n"/>
      <c r="I213" s="2" t="n"/>
      <c r="J213" s="2" t="n"/>
      <c r="K213" s="2" t="n"/>
    </row>
    <row r="214">
      <c r="A214" s="2" t="n">
        <v>0</v>
      </c>
      <c r="B214" s="2" t="n"/>
      <c r="C214" s="2" t="n"/>
      <c r="D214" s="2" t="n"/>
      <c r="E214" s="2" t="n"/>
      <c r="F214" s="2" t="n"/>
      <c r="G214" s="2" t="n"/>
      <c r="H214" s="2" t="n"/>
      <c r="I214" s="2" t="n"/>
      <c r="J214" s="2" t="n"/>
      <c r="K214" s="2" t="n"/>
    </row>
    <row r="215">
      <c r="A215" s="2" t="n">
        <v>0</v>
      </c>
      <c r="B215" s="2" t="n"/>
      <c r="C215" s="2" t="n"/>
      <c r="D215" s="2" t="n"/>
      <c r="E215" s="2" t="n"/>
      <c r="F215" s="2" t="n"/>
      <c r="G215" s="2" t="n"/>
      <c r="H215" s="2" t="n"/>
      <c r="I215" s="2" t="n"/>
      <c r="J215" s="2" t="n"/>
      <c r="K215" s="2" t="n"/>
    </row>
    <row r="216">
      <c r="A216" s="2" t="n">
        <v>0</v>
      </c>
      <c r="B216" s="2" t="n"/>
      <c r="C216" s="2" t="n"/>
      <c r="D216" s="2" t="n"/>
      <c r="E216" s="2" t="n"/>
      <c r="F216" s="2" t="n"/>
      <c r="G216" s="2" t="n"/>
      <c r="H216" s="2" t="n"/>
      <c r="I216" s="2" t="n"/>
      <c r="J216" s="2" t="n"/>
      <c r="K216" s="2" t="n"/>
    </row>
    <row r="217">
      <c r="A217" s="2" t="n">
        <v>0</v>
      </c>
      <c r="B217" s="2" t="n"/>
      <c r="C217" s="2" t="n"/>
      <c r="D217" s="2" t="n"/>
      <c r="E217" s="2" t="n"/>
      <c r="F217" s="2" t="n"/>
      <c r="G217" s="2" t="n"/>
      <c r="H217" s="2" t="n"/>
      <c r="I217" s="2" t="n"/>
      <c r="J217" s="2" t="n"/>
      <c r="K217" s="2" t="n"/>
    </row>
    <row r="218">
      <c r="A218" s="5" t="n"/>
      <c r="B218" s="5" t="n"/>
      <c r="C218" s="5" t="n"/>
      <c r="D218" s="5" t="n"/>
      <c r="E218" s="5" t="n"/>
      <c r="F218" s="5" t="n"/>
      <c r="G218" s="5" t="n"/>
      <c r="H218" s="5" t="n"/>
      <c r="I218" s="5" t="n"/>
      <c r="J218" s="5" t="n"/>
      <c r="K218" s="5" t="n"/>
    </row>
    <row r="219">
      <c r="A219" s="9" t="inlineStr">
        <is>
          <t>End of nodes (80 rows). Keep the red guard row blank: anything typed there is counted as overflow on Checks. Spare rows: Active = 0, other cells blank.</t>
        </is>
      </c>
    </row>
    <row r="221">
      <c r="A221" s="6" t="inlineStr">
        <is>
          <t>Rope segments (reeving)</t>
        </is>
      </c>
      <c r="D221" t="inlineStr">
        <is>
          <t>Capacity</t>
        </is>
      </c>
      <c r="E221" s="4" t="n">
        <v>60</v>
      </c>
      <c r="F221" t="inlineStr">
        <is>
          <t>Rows not written (overflow)</t>
        </is>
      </c>
      <c r="G221" s="4" t="n">
        <v>0</v>
      </c>
    </row>
    <row r="222">
      <c r="A222" s="8" t="inlineStr">
        <is>
          <t>Active [1/0]</t>
        </is>
      </c>
      <c r="B222" s="8" t="inlineStr">
        <is>
          <t>Rope id</t>
        </is>
      </c>
      <c r="C222" s="8" t="inlineStr">
        <is>
          <t>From node</t>
        </is>
      </c>
      <c r="D222" s="8" t="inlineStr">
        <is>
          <t>To node</t>
        </is>
      </c>
      <c r="E222" s="8" t="inlineStr">
        <is>
          <t>Parts (multiplier)</t>
        </is>
      </c>
    </row>
    <row r="223">
      <c r="A223" s="7" t="inlineStr">
        <is>
          <t>active (1 = row in use, 0 = spare)</t>
        </is>
      </c>
      <c r="B223" s="7" t="inlineStr">
        <is>
          <t>rope_id</t>
        </is>
      </c>
      <c r="C223" s="7" t="inlineStr">
        <is>
          <t>from_node_id</t>
        </is>
      </c>
      <c r="D223" s="7" t="inlineStr">
        <is>
          <t>to_node_id</t>
        </is>
      </c>
      <c r="E223" s="7" t="inlineStr">
        <is>
          <t>mult</t>
        </is>
      </c>
    </row>
    <row r="224">
      <c r="A224" s="2" t="n">
        <v>1</v>
      </c>
      <c r="B224" s="2" t="inlineStr">
        <is>
          <t>MH__rope</t>
        </is>
      </c>
      <c r="C224" s="2" t="inlineStr">
        <is>
          <t>mh_winch</t>
        </is>
      </c>
      <c r="D224" s="2" t="inlineStr">
        <is>
          <t>mh_aframe_sheave_1</t>
        </is>
      </c>
      <c r="E224" s="2" t="n">
        <v>2</v>
      </c>
    </row>
    <row r="225">
      <c r="A225" s="2" t="n">
        <v>1</v>
      </c>
      <c r="B225" s="2" t="inlineStr">
        <is>
          <t>MH__rope</t>
        </is>
      </c>
      <c r="C225" s="2" t="inlineStr">
        <is>
          <t>mh_aframe_sheave_1</t>
        </is>
      </c>
      <c r="D225" s="2" t="inlineStr">
        <is>
          <t>mh_aframe_sheave_2</t>
        </is>
      </c>
      <c r="E225" s="2" t="n">
        <v>2</v>
      </c>
    </row>
    <row r="226">
      <c r="A226" s="2" t="n">
        <v>1</v>
      </c>
      <c r="B226" s="2" t="inlineStr">
        <is>
          <t>MH__rope</t>
        </is>
      </c>
      <c r="C226" s="2" t="inlineStr">
        <is>
          <t>mh_aframe_sheave_2</t>
        </is>
      </c>
      <c r="D226" s="2" t="inlineStr">
        <is>
          <t>mh_boom_sheave_3</t>
        </is>
      </c>
      <c r="E226" s="2" t="n">
        <v>2</v>
      </c>
    </row>
    <row r="227">
      <c r="A227" s="2" t="n">
        <v>1</v>
      </c>
      <c r="B227" s="2" t="inlineStr">
        <is>
          <t>MH__rope</t>
        </is>
      </c>
      <c r="C227" s="2" t="inlineStr">
        <is>
          <t>mh_boom_sheave_3</t>
        </is>
      </c>
      <c r="D227" s="2" t="inlineStr">
        <is>
          <t>mh_boom_sheave_4</t>
        </is>
      </c>
      <c r="E227" s="2" t="n">
        <v>2</v>
      </c>
    </row>
    <row r="228">
      <c r="A228" s="2" t="n">
        <v>1</v>
      </c>
      <c r="B228" s="2" t="inlineStr">
        <is>
          <t>MH__rope</t>
        </is>
      </c>
      <c r="C228" s="2" t="inlineStr">
        <is>
          <t>mh_boom_sheave_4</t>
        </is>
      </c>
      <c r="D228" s="2" t="inlineStr">
        <is>
          <t>__hook__MH</t>
        </is>
      </c>
      <c r="E228" s="2" t="n">
        <v>20</v>
      </c>
    </row>
    <row r="229">
      <c r="A229" s="2" t="n">
        <v>1</v>
      </c>
      <c r="B229" s="2" t="inlineStr">
        <is>
          <t>WH__rope</t>
        </is>
      </c>
      <c r="C229" s="2" t="inlineStr">
        <is>
          <t>wh_winch</t>
        </is>
      </c>
      <c r="D229" s="2" t="inlineStr">
        <is>
          <t>wh_aframe_sheave_1</t>
        </is>
      </c>
      <c r="E229" s="2" t="n">
        <v>1</v>
      </c>
    </row>
    <row r="230">
      <c r="A230" s="2" t="n">
        <v>1</v>
      </c>
      <c r="B230" s="2" t="inlineStr">
        <is>
          <t>WH__rope</t>
        </is>
      </c>
      <c r="C230" s="2" t="inlineStr">
        <is>
          <t>wh_aframe_sheave_1</t>
        </is>
      </c>
      <c r="D230" s="2" t="inlineStr">
        <is>
          <t>wh_aframe_sheave_2</t>
        </is>
      </c>
      <c r="E230" s="2" t="n">
        <v>1</v>
      </c>
    </row>
    <row r="231">
      <c r="A231" s="2" t="n">
        <v>1</v>
      </c>
      <c r="B231" s="2" t="inlineStr">
        <is>
          <t>WH__rope</t>
        </is>
      </c>
      <c r="C231" s="2" t="inlineStr">
        <is>
          <t>wh_aframe_sheave_2</t>
        </is>
      </c>
      <c r="D231" s="2" t="inlineStr">
        <is>
          <t>wh_boom_sheave_3</t>
        </is>
      </c>
      <c r="E231" s="2" t="n">
        <v>1</v>
      </c>
    </row>
    <row r="232">
      <c r="A232" s="2" t="n">
        <v>1</v>
      </c>
      <c r="B232" s="2" t="inlineStr">
        <is>
          <t>WH__rope</t>
        </is>
      </c>
      <c r="C232" s="2" t="inlineStr">
        <is>
          <t>wh_boom_sheave_3</t>
        </is>
      </c>
      <c r="D232" s="2" t="inlineStr">
        <is>
          <t>wh_boom_sheave_4</t>
        </is>
      </c>
      <c r="E232" s="2" t="n">
        <v>1</v>
      </c>
    </row>
    <row r="233">
      <c r="A233" s="2" t="n">
        <v>1</v>
      </c>
      <c r="B233" s="2" t="inlineStr">
        <is>
          <t>WH__rope</t>
        </is>
      </c>
      <c r="C233" s="2" t="inlineStr">
        <is>
          <t>wh_boom_sheave_4</t>
        </is>
      </c>
      <c r="D233" s="2" t="inlineStr">
        <is>
          <t>__hook__WH</t>
        </is>
      </c>
      <c r="E233" s="2" t="n">
        <v>4</v>
      </c>
    </row>
    <row r="234">
      <c r="A234" s="2" t="n">
        <v>1</v>
      </c>
      <c r="B234" s="2" t="inlineStr">
        <is>
          <t>SH__rope</t>
        </is>
      </c>
      <c r="C234" s="2" t="inlineStr">
        <is>
          <t>sh_winch</t>
        </is>
      </c>
      <c r="D234" s="2" t="inlineStr">
        <is>
          <t>sh_boom_sheave_1</t>
        </is>
      </c>
      <c r="E234" s="2" t="n">
        <v>1</v>
      </c>
    </row>
    <row r="235">
      <c r="A235" s="2" t="n">
        <v>1</v>
      </c>
      <c r="B235" s="2" t="inlineStr">
        <is>
          <t>SH__rope</t>
        </is>
      </c>
      <c r="C235" s="2" t="inlineStr">
        <is>
          <t>sh_boom_sheave_1</t>
        </is>
      </c>
      <c r="D235" s="2" t="inlineStr">
        <is>
          <t>sh_boom_sheave_2</t>
        </is>
      </c>
      <c r="E235" s="2" t="n">
        <v>1</v>
      </c>
    </row>
    <row r="236">
      <c r="A236" s="2" t="n">
        <v>1</v>
      </c>
      <c r="B236" s="2" t="inlineStr">
        <is>
          <t>SH__rope</t>
        </is>
      </c>
      <c r="C236" s="2" t="inlineStr">
        <is>
          <t>sh_boom_sheave_2</t>
        </is>
      </c>
      <c r="D236" s="2" t="inlineStr">
        <is>
          <t>__hook__SH</t>
        </is>
      </c>
      <c r="E236" s="2" t="n">
        <v>1</v>
      </c>
    </row>
    <row r="237">
      <c r="A237" s="2" t="n">
        <v>1</v>
      </c>
      <c r="B237" s="2" t="inlineStr">
        <is>
          <t>BH__rope</t>
        </is>
      </c>
      <c r="C237" s="2" t="inlineStr">
        <is>
          <t>bh_winch</t>
        </is>
      </c>
      <c r="D237" s="2" t="inlineStr">
        <is>
          <t>bh_aframe_sheave_1</t>
        </is>
      </c>
      <c r="E237" s="2" t="n">
        <v>2</v>
      </c>
    </row>
    <row r="238">
      <c r="A238" s="2" t="n">
        <v>1</v>
      </c>
      <c r="B238" s="2" t="inlineStr">
        <is>
          <t>BH__rope</t>
        </is>
      </c>
      <c r="C238" s="2" t="inlineStr">
        <is>
          <t>bh_aframe_sheave_1</t>
        </is>
      </c>
      <c r="D238" s="2" t="inlineStr">
        <is>
          <t>bh_aframe_sheave_2</t>
        </is>
      </c>
      <c r="E238" s="2" t="n">
        <v>2</v>
      </c>
    </row>
    <row r="239">
      <c r="A239" s="2" t="n">
        <v>1</v>
      </c>
      <c r="B239" s="2" t="inlineStr">
        <is>
          <t>BH__rope</t>
        </is>
      </c>
      <c r="C239" s="2" t="inlineStr">
        <is>
          <t>bh_aframe_sheave_2</t>
        </is>
      </c>
      <c r="D239" s="2" t="inlineStr">
        <is>
          <t>bh_boom_sheave_3</t>
        </is>
      </c>
      <c r="E239" s="2" t="n">
        <v>24</v>
      </c>
    </row>
    <row r="240">
      <c r="A240" s="2" t="n">
        <v>0</v>
      </c>
      <c r="B240" s="2" t="n"/>
      <c r="C240" s="2" t="n"/>
      <c r="D240" s="2" t="n"/>
      <c r="E240" s="2" t="n"/>
    </row>
    <row r="241">
      <c r="A241" s="2" t="n">
        <v>0</v>
      </c>
      <c r="B241" s="2" t="n"/>
      <c r="C241" s="2" t="n"/>
      <c r="D241" s="2" t="n"/>
      <c r="E241" s="2" t="n"/>
    </row>
    <row r="242">
      <c r="A242" s="2" t="n">
        <v>0</v>
      </c>
      <c r="B242" s="2" t="n"/>
      <c r="C242" s="2" t="n"/>
      <c r="D242" s="2" t="n"/>
      <c r="E242" s="2" t="n"/>
    </row>
    <row r="243">
      <c r="A243" s="2" t="n">
        <v>0</v>
      </c>
      <c r="B243" s="2" t="n"/>
      <c r="C243" s="2" t="n"/>
      <c r="D243" s="2" t="n"/>
      <c r="E243" s="2" t="n"/>
    </row>
    <row r="244">
      <c r="A244" s="2" t="n">
        <v>0</v>
      </c>
      <c r="B244" s="2" t="n"/>
      <c r="C244" s="2" t="n"/>
      <c r="D244" s="2" t="n"/>
      <c r="E244" s="2" t="n"/>
    </row>
    <row r="245">
      <c r="A245" s="2" t="n">
        <v>0</v>
      </c>
      <c r="B245" s="2" t="n"/>
      <c r="C245" s="2" t="n"/>
      <c r="D245" s="2" t="n"/>
      <c r="E245" s="2" t="n"/>
    </row>
    <row r="246">
      <c r="A246" s="2" t="n">
        <v>0</v>
      </c>
      <c r="B246" s="2" t="n"/>
      <c r="C246" s="2" t="n"/>
      <c r="D246" s="2" t="n"/>
      <c r="E246" s="2" t="n"/>
    </row>
    <row r="247">
      <c r="A247" s="2" t="n">
        <v>0</v>
      </c>
      <c r="B247" s="2" t="n"/>
      <c r="C247" s="2" t="n"/>
      <c r="D247" s="2" t="n"/>
      <c r="E247" s="2" t="n"/>
    </row>
    <row r="248">
      <c r="A248" s="2" t="n">
        <v>0</v>
      </c>
      <c r="B248" s="2" t="n"/>
      <c r="C248" s="2" t="n"/>
      <c r="D248" s="2" t="n"/>
      <c r="E248" s="2" t="n"/>
    </row>
    <row r="249">
      <c r="A249" s="2" t="n">
        <v>0</v>
      </c>
      <c r="B249" s="2" t="n"/>
      <c r="C249" s="2" t="n"/>
      <c r="D249" s="2" t="n"/>
      <c r="E249" s="2" t="n"/>
    </row>
    <row r="250">
      <c r="A250" s="2" t="n">
        <v>0</v>
      </c>
      <c r="B250" s="2" t="n"/>
      <c r="C250" s="2" t="n"/>
      <c r="D250" s="2" t="n"/>
      <c r="E250" s="2" t="n"/>
    </row>
    <row r="251">
      <c r="A251" s="2" t="n">
        <v>0</v>
      </c>
      <c r="B251" s="2" t="n"/>
      <c r="C251" s="2" t="n"/>
      <c r="D251" s="2" t="n"/>
      <c r="E251" s="2" t="n"/>
    </row>
    <row r="252">
      <c r="A252" s="2" t="n">
        <v>0</v>
      </c>
      <c r="B252" s="2" t="n"/>
      <c r="C252" s="2" t="n"/>
      <c r="D252" s="2" t="n"/>
      <c r="E252" s="2" t="n"/>
    </row>
    <row r="253">
      <c r="A253" s="2" t="n">
        <v>0</v>
      </c>
      <c r="B253" s="2" t="n"/>
      <c r="C253" s="2" t="n"/>
      <c r="D253" s="2" t="n"/>
      <c r="E253" s="2" t="n"/>
    </row>
    <row r="254">
      <c r="A254" s="2" t="n">
        <v>0</v>
      </c>
      <c r="B254" s="2" t="n"/>
      <c r="C254" s="2" t="n"/>
      <c r="D254" s="2" t="n"/>
      <c r="E254" s="2" t="n"/>
    </row>
    <row r="255">
      <c r="A255" s="2" t="n">
        <v>0</v>
      </c>
      <c r="B255" s="2" t="n"/>
      <c r="C255" s="2" t="n"/>
      <c r="D255" s="2" t="n"/>
      <c r="E255" s="2" t="n"/>
    </row>
    <row r="256">
      <c r="A256" s="2" t="n">
        <v>0</v>
      </c>
      <c r="B256" s="2" t="n"/>
      <c r="C256" s="2" t="n"/>
      <c r="D256" s="2" t="n"/>
      <c r="E256" s="2" t="n"/>
    </row>
    <row r="257">
      <c r="A257" s="2" t="n">
        <v>0</v>
      </c>
      <c r="B257" s="2" t="n"/>
      <c r="C257" s="2" t="n"/>
      <c r="D257" s="2" t="n"/>
      <c r="E257" s="2" t="n"/>
    </row>
    <row r="258">
      <c r="A258" s="2" t="n">
        <v>0</v>
      </c>
      <c r="B258" s="2" t="n"/>
      <c r="C258" s="2" t="n"/>
      <c r="D258" s="2" t="n"/>
      <c r="E258" s="2" t="n"/>
    </row>
    <row r="259">
      <c r="A259" s="2" t="n">
        <v>0</v>
      </c>
      <c r="B259" s="2" t="n"/>
      <c r="C259" s="2" t="n"/>
      <c r="D259" s="2" t="n"/>
      <c r="E259" s="2" t="n"/>
    </row>
    <row r="260">
      <c r="A260" s="2" t="n">
        <v>0</v>
      </c>
      <c r="B260" s="2" t="n"/>
      <c r="C260" s="2" t="n"/>
      <c r="D260" s="2" t="n"/>
      <c r="E260" s="2" t="n"/>
    </row>
    <row r="261">
      <c r="A261" s="2" t="n">
        <v>0</v>
      </c>
      <c r="B261" s="2" t="n"/>
      <c r="C261" s="2" t="n"/>
      <c r="D261" s="2" t="n"/>
      <c r="E261" s="2" t="n"/>
    </row>
    <row r="262">
      <c r="A262" s="2" t="n">
        <v>0</v>
      </c>
      <c r="B262" s="2" t="n"/>
      <c r="C262" s="2" t="n"/>
      <c r="D262" s="2" t="n"/>
      <c r="E262" s="2" t="n"/>
    </row>
    <row r="263">
      <c r="A263" s="2" t="n">
        <v>0</v>
      </c>
      <c r="B263" s="2" t="n"/>
      <c r="C263" s="2" t="n"/>
      <c r="D263" s="2" t="n"/>
      <c r="E263" s="2" t="n"/>
    </row>
    <row r="264">
      <c r="A264" s="2" t="n">
        <v>0</v>
      </c>
      <c r="B264" s="2" t="n"/>
      <c r="C264" s="2" t="n"/>
      <c r="D264" s="2" t="n"/>
      <c r="E264" s="2" t="n"/>
    </row>
    <row r="265">
      <c r="A265" s="2" t="n">
        <v>0</v>
      </c>
      <c r="B265" s="2" t="n"/>
      <c r="C265" s="2" t="n"/>
      <c r="D265" s="2" t="n"/>
      <c r="E265" s="2" t="n"/>
    </row>
    <row r="266">
      <c r="A266" s="2" t="n">
        <v>0</v>
      </c>
      <c r="B266" s="2" t="n"/>
      <c r="C266" s="2" t="n"/>
      <c r="D266" s="2" t="n"/>
      <c r="E266" s="2" t="n"/>
    </row>
    <row r="267">
      <c r="A267" s="2" t="n">
        <v>0</v>
      </c>
      <c r="B267" s="2" t="n"/>
      <c r="C267" s="2" t="n"/>
      <c r="D267" s="2" t="n"/>
      <c r="E267" s="2" t="n"/>
    </row>
    <row r="268">
      <c r="A268" s="2" t="n">
        <v>0</v>
      </c>
      <c r="B268" s="2" t="n"/>
      <c r="C268" s="2" t="n"/>
      <c r="D268" s="2" t="n"/>
      <c r="E268" s="2" t="n"/>
    </row>
    <row r="269">
      <c r="A269" s="2" t="n">
        <v>0</v>
      </c>
      <c r="B269" s="2" t="n"/>
      <c r="C269" s="2" t="n"/>
      <c r="D269" s="2" t="n"/>
      <c r="E269" s="2" t="n"/>
    </row>
    <row r="270">
      <c r="A270" s="2" t="n">
        <v>0</v>
      </c>
      <c r="B270" s="2" t="n"/>
      <c r="C270" s="2" t="n"/>
      <c r="D270" s="2" t="n"/>
      <c r="E270" s="2" t="n"/>
    </row>
    <row r="271">
      <c r="A271" s="2" t="n">
        <v>0</v>
      </c>
      <c r="B271" s="2" t="n"/>
      <c r="C271" s="2" t="n"/>
      <c r="D271" s="2" t="n"/>
      <c r="E271" s="2" t="n"/>
    </row>
    <row r="272">
      <c r="A272" s="2" t="n">
        <v>0</v>
      </c>
      <c r="B272" s="2" t="n"/>
      <c r="C272" s="2" t="n"/>
      <c r="D272" s="2" t="n"/>
      <c r="E272" s="2" t="n"/>
    </row>
    <row r="273">
      <c r="A273" s="2" t="n">
        <v>0</v>
      </c>
      <c r="B273" s="2" t="n"/>
      <c r="C273" s="2" t="n"/>
      <c r="D273" s="2" t="n"/>
      <c r="E273" s="2" t="n"/>
    </row>
    <row r="274">
      <c r="A274" s="2" t="n">
        <v>0</v>
      </c>
      <c r="B274" s="2" t="n"/>
      <c r="C274" s="2" t="n"/>
      <c r="D274" s="2" t="n"/>
      <c r="E274" s="2" t="n"/>
    </row>
    <row r="275">
      <c r="A275" s="2" t="n">
        <v>0</v>
      </c>
      <c r="B275" s="2" t="n"/>
      <c r="C275" s="2" t="n"/>
      <c r="D275" s="2" t="n"/>
      <c r="E275" s="2" t="n"/>
    </row>
    <row r="276">
      <c r="A276" s="2" t="n">
        <v>0</v>
      </c>
      <c r="B276" s="2" t="n"/>
      <c r="C276" s="2" t="n"/>
      <c r="D276" s="2" t="n"/>
      <c r="E276" s="2" t="n"/>
    </row>
    <row r="277">
      <c r="A277" s="2" t="n">
        <v>0</v>
      </c>
      <c r="B277" s="2" t="n"/>
      <c r="C277" s="2" t="n"/>
      <c r="D277" s="2" t="n"/>
      <c r="E277" s="2" t="n"/>
    </row>
    <row r="278">
      <c r="A278" s="2" t="n">
        <v>0</v>
      </c>
      <c r="B278" s="2" t="n"/>
      <c r="C278" s="2" t="n"/>
      <c r="D278" s="2" t="n"/>
      <c r="E278" s="2" t="n"/>
    </row>
    <row r="279">
      <c r="A279" s="2" t="n">
        <v>0</v>
      </c>
      <c r="B279" s="2" t="n"/>
      <c r="C279" s="2" t="n"/>
      <c r="D279" s="2" t="n"/>
      <c r="E279" s="2" t="n"/>
    </row>
    <row r="280">
      <c r="A280" s="2" t="n">
        <v>0</v>
      </c>
      <c r="B280" s="2" t="n"/>
      <c r="C280" s="2" t="n"/>
      <c r="D280" s="2" t="n"/>
      <c r="E280" s="2" t="n"/>
    </row>
    <row r="281">
      <c r="A281" s="2" t="n">
        <v>0</v>
      </c>
      <c r="B281" s="2" t="n"/>
      <c r="C281" s="2" t="n"/>
      <c r="D281" s="2" t="n"/>
      <c r="E281" s="2" t="n"/>
    </row>
    <row r="282">
      <c r="A282" s="2" t="n">
        <v>0</v>
      </c>
      <c r="B282" s="2" t="n"/>
      <c r="C282" s="2" t="n"/>
      <c r="D282" s="2" t="n"/>
      <c r="E282" s="2" t="n"/>
    </row>
    <row r="283">
      <c r="A283" s="2" t="n">
        <v>0</v>
      </c>
      <c r="B283" s="2" t="n"/>
      <c r="C283" s="2" t="n"/>
      <c r="D283" s="2" t="n"/>
      <c r="E283" s="2" t="n"/>
    </row>
    <row r="284">
      <c r="A284" s="5" t="n"/>
      <c r="B284" s="5" t="n"/>
      <c r="C284" s="5" t="n"/>
      <c r="D284" s="5" t="n"/>
      <c r="E284" s="5" t="n"/>
    </row>
    <row r="285">
      <c r="A285" s="9" t="inlineStr">
        <is>
          <t>End of segments (60 rows). Keep the red guard row blank: anything typed there is counted as overflow on Checks. Spare rows: Active = 0, other cells blank.</t>
        </is>
      </c>
    </row>
    <row r="287">
      <c r="A287" s="6" t="inlineStr">
        <is>
          <t>Ropes</t>
        </is>
      </c>
      <c r="D287" t="inlineStr">
        <is>
          <t>Capacity</t>
        </is>
      </c>
      <c r="E287" s="4" t="n">
        <v>8</v>
      </c>
      <c r="F287" t="inlineStr">
        <is>
          <t>Rows not written (overflow)</t>
        </is>
      </c>
      <c r="G287" s="4" t="n">
        <v>0</v>
      </c>
    </row>
    <row r="288">
      <c r="A288" s="8" t="inlineStr">
        <is>
          <t>Active [1/0]</t>
        </is>
      </c>
      <c r="B288" s="8" t="inlineStr">
        <is>
          <t>Id</t>
        </is>
      </c>
      <c r="C288" s="8" t="inlineStr">
        <is>
          <t>Role</t>
        </is>
      </c>
    </row>
    <row r="289">
      <c r="A289" s="7" t="inlineStr">
        <is>
          <t>active (1 = row in use, 0 = spare)</t>
        </is>
      </c>
      <c r="B289" s="7" t="inlineStr">
        <is>
          <t>id</t>
        </is>
      </c>
      <c r="C289" s="7" t="inlineStr">
        <is>
          <t>role (solve = boom hoist (tension solved); fixed = hoist rope)</t>
        </is>
      </c>
    </row>
    <row r="290">
      <c r="A290" s="2" t="n">
        <v>1</v>
      </c>
      <c r="B290" s="2" t="inlineStr">
        <is>
          <t>MH__rope</t>
        </is>
      </c>
      <c r="C290" s="2" t="inlineStr">
        <is>
          <t>fixed</t>
        </is>
      </c>
    </row>
    <row r="291">
      <c r="A291" s="2" t="n">
        <v>1</v>
      </c>
      <c r="B291" s="2" t="inlineStr">
        <is>
          <t>WH__rope</t>
        </is>
      </c>
      <c r="C291" s="2" t="inlineStr">
        <is>
          <t>fixed</t>
        </is>
      </c>
    </row>
    <row r="292">
      <c r="A292" s="2" t="n">
        <v>1</v>
      </c>
      <c r="B292" s="2" t="inlineStr">
        <is>
          <t>SH__rope</t>
        </is>
      </c>
      <c r="C292" s="2" t="inlineStr">
        <is>
          <t>fixed</t>
        </is>
      </c>
    </row>
    <row r="293">
      <c r="A293" s="2" t="n">
        <v>1</v>
      </c>
      <c r="B293" s="2" t="inlineStr">
        <is>
          <t>BH__rope</t>
        </is>
      </c>
      <c r="C293" s="2" t="inlineStr">
        <is>
          <t>solve</t>
        </is>
      </c>
    </row>
    <row r="294">
      <c r="A294" s="2" t="n">
        <v>0</v>
      </c>
      <c r="B294" s="2" t="n"/>
      <c r="C294" s="2" t="n"/>
    </row>
    <row r="295">
      <c r="A295" s="2" t="n">
        <v>0</v>
      </c>
      <c r="B295" s="2" t="n"/>
      <c r="C295" s="2" t="n"/>
    </row>
    <row r="296">
      <c r="A296" s="2" t="n">
        <v>0</v>
      </c>
      <c r="B296" s="2" t="n"/>
      <c r="C296" s="2" t="n"/>
    </row>
    <row r="297">
      <c r="A297" s="2" t="n">
        <v>0</v>
      </c>
      <c r="B297" s="2" t="n"/>
      <c r="C297" s="2" t="n"/>
    </row>
    <row r="298">
      <c r="A298" s="5" t="n"/>
      <c r="B298" s="5" t="n"/>
      <c r="C298" s="5" t="n"/>
    </row>
    <row r="299">
      <c r="A299" s="9" t="inlineStr">
        <is>
          <t>End of ropes (8 rows). Keep the red guard row blank: anything typed there is counted as overflow on Checks. Spare rows: Active = 0, other cells blank.</t>
        </is>
      </c>
    </row>
    <row r="301">
      <c r="A301" s="6" t="inlineStr">
        <is>
          <t>Hoists</t>
        </is>
      </c>
      <c r="D301" t="inlineStr">
        <is>
          <t>Capacity</t>
        </is>
      </c>
      <c r="E301" s="4" t="n">
        <v>8</v>
      </c>
      <c r="F301" t="inlineStr">
        <is>
          <t>Rows not written (overflow)</t>
        </is>
      </c>
      <c r="G301" s="4" t="n">
        <v>0</v>
      </c>
    </row>
    <row r="302">
      <c r="A302" s="8" t="inlineStr">
        <is>
          <t>Active [1/0]</t>
        </is>
      </c>
      <c r="B302" s="8" t="inlineStr">
        <is>
          <t>Id</t>
        </is>
      </c>
      <c r="C302" s="8" t="inlineStr">
        <is>
          <t>Rope id</t>
        </is>
      </c>
      <c r="D302" s="8" t="inlineStr">
        <is>
          <t>Hook node</t>
        </is>
      </c>
      <c r="E302" s="8" t="inlineStr">
        <is>
          <t>Support node</t>
        </is>
      </c>
      <c r="F302" s="8" t="inlineStr">
        <is>
          <t>Falls</t>
        </is>
      </c>
      <c r="G302" s="8" t="inlineStr">
        <is>
          <t>Hook block mass [t]</t>
        </is>
      </c>
      <c r="H302" s="8" t="inlineStr">
        <is>
          <t>Hook DAF</t>
        </is>
      </c>
      <c r="I302" s="8" t="inlineStr">
        <is>
          <t>Offlead (document default) [deg]</t>
        </is>
      </c>
      <c r="J302" s="8" t="inlineStr">
        <is>
          <t>Sidelead (document default) [deg]</t>
        </is>
      </c>
      <c r="K302" s="8" t="inlineStr">
        <is>
          <t>Rope linear mass [kg/m]</t>
        </is>
      </c>
      <c r="L302" s="8" t="inlineStr">
        <is>
          <t>Total rope length (incl. spooled) [m]</t>
        </is>
      </c>
      <c r="M302" s="8" t="inlineStr">
        <is>
          <t>Max hook travel [m]</t>
        </is>
      </c>
      <c r="N302" s="8" t="inlineStr">
        <is>
          <t>Lowest hook height [m]</t>
        </is>
      </c>
      <c r="O302" s="8" t="inlineStr">
        <is>
          <t>Splitable block [1/0]</t>
        </is>
      </c>
      <c r="P302" s="8" t="inlineStr">
        <is>
          <t>Split falls</t>
        </is>
      </c>
      <c r="Q302" s="8" t="inlineStr">
        <is>
          <t>Split hook mass [t]</t>
        </is>
      </c>
    </row>
    <row r="303">
      <c r="A303" s="7" t="inlineStr">
        <is>
          <t>active (1 = row in use, 0 = spare)</t>
        </is>
      </c>
      <c r="B303" s="7" t="inlineStr">
        <is>
          <t>id</t>
        </is>
      </c>
      <c r="C303" s="7" t="inlineStr">
        <is>
          <t>rope_id</t>
        </is>
      </c>
      <c r="D303" s="7" t="inlineStr">
        <is>
          <t>load_node_id (boom hoist: its boom sheave)</t>
        </is>
      </c>
      <c r="E303" s="7" t="inlineStr">
        <is>
          <t>support_node_id (sheave the hook hangs below)</t>
        </is>
      </c>
      <c r="F303" s="7" t="inlineStr">
        <is>
          <t>falls</t>
        </is>
      </c>
      <c r="G303" s="7" t="inlineStr">
        <is>
          <t>hook_mass_t</t>
        </is>
      </c>
      <c r="H303" s="7" t="inlineStr">
        <is>
          <t>hook_daf</t>
        </is>
      </c>
      <c r="I303" s="7" t="inlineStr">
        <is>
          <t>offlead_deg (scene value is used)</t>
        </is>
      </c>
      <c r="J303" s="7" t="inlineStr">
        <is>
          <t>sidelead_deg (scene value is used)</t>
        </is>
      </c>
      <c r="K303" s="7" t="inlineStr">
        <is>
          <t>linear_mass_kg_m</t>
        </is>
      </c>
      <c r="L303" s="7" t="inlineStr">
        <is>
          <t>rope_length_m</t>
        </is>
      </c>
      <c r="M303" s="7" t="inlineStr">
        <is>
          <t>max_hook_travel_m (information only)</t>
        </is>
      </c>
      <c r="N303" s="7" t="inlineStr">
        <is>
          <t>lowest_hook_height_m (information only)</t>
        </is>
      </c>
      <c r="O303" s="7" t="inlineStr">
        <is>
          <t>splitable_block (split mode unsupported)</t>
        </is>
      </c>
      <c r="P303" s="7" t="inlineStr">
        <is>
          <t>split_falls (split mode unsupported)</t>
        </is>
      </c>
      <c r="Q303" s="7" t="inlineStr">
        <is>
          <t>split_hook_mass_t (split mode unsupported)</t>
        </is>
      </c>
    </row>
    <row r="304">
      <c r="A304" s="2" t="n">
        <v>1</v>
      </c>
      <c r="B304" s="2" t="inlineStr">
        <is>
          <t>MH</t>
        </is>
      </c>
      <c r="C304" s="2" t="inlineStr">
        <is>
          <t>MH__rope</t>
        </is>
      </c>
      <c r="D304" s="2" t="inlineStr">
        <is>
          <t>__hook__MH</t>
        </is>
      </c>
      <c r="E304" s="2" t="inlineStr">
        <is>
          <t>mh_boom_sheave_4</t>
        </is>
      </c>
      <c r="F304" s="2" t="n">
        <v>20</v>
      </c>
      <c r="G304" s="2" t="n">
        <v>102</v>
      </c>
      <c r="H304" s="2" t="n">
        <v>1.1</v>
      </c>
      <c r="I304" s="2" t="n">
        <v>1</v>
      </c>
      <c r="J304" s="2" t="n">
        <v>2.5</v>
      </c>
      <c r="K304" s="2" t="n">
        <v>20.3</v>
      </c>
      <c r="L304" s="2" t="n">
        <v>4778.46882970778</v>
      </c>
      <c r="M304" s="2" t="n">
        <v>214.9867283242293</v>
      </c>
      <c r="N304" s="2" t="n">
        <v>-53</v>
      </c>
      <c r="O304" s="2" t="n">
        <v>1</v>
      </c>
      <c r="P304" s="2" t="n">
        <v>12</v>
      </c>
      <c r="Q304" s="2" t="n">
        <v>91.51000000000001</v>
      </c>
    </row>
    <row r="305">
      <c r="A305" s="2" t="n">
        <v>1</v>
      </c>
      <c r="B305" s="2" t="inlineStr">
        <is>
          <t>WH</t>
        </is>
      </c>
      <c r="C305" s="2" t="inlineStr">
        <is>
          <t>WH__rope</t>
        </is>
      </c>
      <c r="D305" s="2" t="inlineStr">
        <is>
          <t>__hook__WH</t>
        </is>
      </c>
      <c r="E305" s="2" t="inlineStr">
        <is>
          <t>wh_boom_sheave_4</t>
        </is>
      </c>
      <c r="F305" s="2" t="n">
        <v>4</v>
      </c>
      <c r="G305" s="2" t="n">
        <v>13.77</v>
      </c>
      <c r="H305" s="2" t="n">
        <v>1.3</v>
      </c>
      <c r="I305" s="2" t="n">
        <v>2</v>
      </c>
      <c r="J305" s="2" t="n">
        <v>4.5</v>
      </c>
      <c r="K305" s="2" t="n">
        <v>13.4</v>
      </c>
      <c r="L305" s="2" t="n">
        <v>1142.787360045866</v>
      </c>
      <c r="M305" s="2" t="n">
        <v>223.6709562275946</v>
      </c>
      <c r="N305" s="2" t="n">
        <v>-53</v>
      </c>
      <c r="O305" s="2" t="n">
        <v>0</v>
      </c>
      <c r="P305" s="2" t="n">
        <v>4</v>
      </c>
      <c r="Q305" s="2" t="n">
        <v>13.77</v>
      </c>
    </row>
    <row r="306">
      <c r="A306" s="2" t="n">
        <v>1</v>
      </c>
      <c r="B306" s="2" t="inlineStr">
        <is>
          <t>SH</t>
        </is>
      </c>
      <c r="C306" s="2" t="inlineStr">
        <is>
          <t>SH__rope</t>
        </is>
      </c>
      <c r="D306" s="2" t="inlineStr">
        <is>
          <t>__hook__SH</t>
        </is>
      </c>
      <c r="E306" s="2" t="inlineStr">
        <is>
          <t>sh_boom_sheave_2</t>
        </is>
      </c>
      <c r="F306" s="2" t="n">
        <v>1</v>
      </c>
      <c r="G306" s="2" t="n">
        <v>1.632</v>
      </c>
      <c r="H306" s="2" t="n">
        <v>1.3</v>
      </c>
      <c r="I306" s="2" t="n">
        <v>4</v>
      </c>
      <c r="J306" s="2" t="n">
        <v>4.5</v>
      </c>
      <c r="K306" s="2" t="n">
        <v>4.6</v>
      </c>
      <c r="L306" s="2" t="n">
        <v>310.7978546254288</v>
      </c>
      <c r="M306" s="2" t="n">
        <v>220.3788533651814</v>
      </c>
      <c r="N306" s="2" t="n">
        <v>-53</v>
      </c>
      <c r="O306" s="2" t="n">
        <v>0</v>
      </c>
      <c r="P306" s="2" t="n">
        <v>1</v>
      </c>
      <c r="Q306" s="2" t="n">
        <v>1.632</v>
      </c>
    </row>
    <row r="307">
      <c r="A307" s="2" t="n">
        <v>1</v>
      </c>
      <c r="B307" s="2" t="inlineStr">
        <is>
          <t>BH</t>
        </is>
      </c>
      <c r="C307" s="2" t="inlineStr">
        <is>
          <t>BH__rope</t>
        </is>
      </c>
      <c r="D307" s="2" t="inlineStr">
        <is>
          <t>bh_boom_sheave_3</t>
        </is>
      </c>
      <c r="E307" s="2" t="n"/>
      <c r="F307" s="2" t="n"/>
      <c r="G307" s="2" t="n">
        <v>0</v>
      </c>
      <c r="H307" s="2" t="n">
        <v>1</v>
      </c>
      <c r="I307" s="2" t="n">
        <v>0</v>
      </c>
      <c r="J307" s="2" t="n">
        <v>0</v>
      </c>
      <c r="K307" s="2" t="n">
        <v>20.3</v>
      </c>
      <c r="L307" s="2" t="n">
        <v>4500</v>
      </c>
      <c r="M307" s="2" t="n"/>
      <c r="N307" s="2" t="n"/>
      <c r="O307" s="2" t="n">
        <v>0</v>
      </c>
      <c r="P307" s="2" t="n"/>
      <c r="Q307" s="2" t="n"/>
    </row>
    <row r="308">
      <c r="A308" s="2" t="n">
        <v>0</v>
      </c>
      <c r="B308" s="2" t="n"/>
      <c r="C308" s="2" t="n"/>
      <c r="D308" s="2" t="n"/>
      <c r="E308" s="2" t="n"/>
      <c r="F308" s="2" t="n"/>
      <c r="G308" s="2" t="n"/>
      <c r="H308" s="2" t="n"/>
      <c r="I308" s="2" t="n"/>
      <c r="J308" s="2" t="n"/>
      <c r="K308" s="2" t="n"/>
      <c r="L308" s="2" t="n"/>
      <c r="M308" s="2" t="n"/>
      <c r="N308" s="2" t="n"/>
      <c r="O308" s="2" t="n"/>
      <c r="P308" s="2" t="n"/>
      <c r="Q308" s="2" t="n"/>
    </row>
    <row r="309">
      <c r="A309" s="2" t="n">
        <v>0</v>
      </c>
      <c r="B309" s="2" t="n"/>
      <c r="C309" s="2" t="n"/>
      <c r="D309" s="2" t="n"/>
      <c r="E309" s="2" t="n"/>
      <c r="F309" s="2" t="n"/>
      <c r="G309" s="2" t="n"/>
      <c r="H309" s="2" t="n"/>
      <c r="I309" s="2" t="n"/>
      <c r="J309" s="2" t="n"/>
      <c r="K309" s="2" t="n"/>
      <c r="L309" s="2" t="n"/>
      <c r="M309" s="2" t="n"/>
      <c r="N309" s="2" t="n"/>
      <c r="O309" s="2" t="n"/>
      <c r="P309" s="2" t="n"/>
      <c r="Q309" s="2" t="n"/>
    </row>
    <row r="310">
      <c r="A310" s="2" t="n">
        <v>0</v>
      </c>
      <c r="B310" s="2" t="n"/>
      <c r="C310" s="2" t="n"/>
      <c r="D310" s="2" t="n"/>
      <c r="E310" s="2" t="n"/>
      <c r="F310" s="2" t="n"/>
      <c r="G310" s="2" t="n"/>
      <c r="H310" s="2" t="n"/>
      <c r="I310" s="2" t="n"/>
      <c r="J310" s="2" t="n"/>
      <c r="K310" s="2" t="n"/>
      <c r="L310" s="2" t="n"/>
      <c r="M310" s="2" t="n"/>
      <c r="N310" s="2" t="n"/>
      <c r="O310" s="2" t="n"/>
      <c r="P310" s="2" t="n"/>
      <c r="Q310" s="2" t="n"/>
    </row>
    <row r="311">
      <c r="A311" s="2" t="n">
        <v>0</v>
      </c>
      <c r="B311" s="2" t="n"/>
      <c r="C311" s="2" t="n"/>
      <c r="D311" s="2" t="n"/>
      <c r="E311" s="2" t="n"/>
      <c r="F311" s="2" t="n"/>
      <c r="G311" s="2" t="n"/>
      <c r="H311" s="2" t="n"/>
      <c r="I311" s="2" t="n"/>
      <c r="J311" s="2" t="n"/>
      <c r="K311" s="2" t="n"/>
      <c r="L311" s="2" t="n"/>
      <c r="M311" s="2" t="n"/>
      <c r="N311" s="2" t="n"/>
      <c r="O311" s="2" t="n"/>
      <c r="P311" s="2" t="n"/>
      <c r="Q311" s="2" t="n"/>
    </row>
    <row r="312">
      <c r="A312" s="5" t="n"/>
      <c r="B312" s="5" t="n"/>
      <c r="C312" s="5" t="n"/>
      <c r="D312" s="5" t="n"/>
      <c r="E312" s="5" t="n"/>
      <c r="F312" s="5" t="n"/>
      <c r="G312" s="5" t="n"/>
      <c r="H312" s="5" t="n"/>
      <c r="I312" s="5" t="n"/>
      <c r="J312" s="5" t="n"/>
      <c r="K312" s="5" t="n"/>
      <c r="L312" s="5" t="n"/>
      <c r="M312" s="5" t="n"/>
      <c r="N312" s="5" t="n"/>
      <c r="O312" s="5" t="n"/>
      <c r="P312" s="5" t="n"/>
      <c r="Q312" s="5" t="n"/>
    </row>
    <row r="313">
      <c r="A313" s="9" t="inlineStr">
        <is>
          <t>End of hoists (8 rows). Keep the red guard row blank: anything typed there is counted as overflow on Checks. Spare rows: Active = 0, other cells blank.</t>
        </is>
      </c>
    </row>
  </sheetData>
  <dataValidations count="16">
    <dataValidation sqref="B33" showDropDown="0" showInputMessage="0" showErrorMessage="0" allowBlank="1" type="list">
      <formula1>"+X,-X,+Y,-Y"</formula1>
    </dataValidation>
    <dataValidation sqref="A46:A85" showDropDown="0" showInputMessage="0" showErrorMessage="0" allowBlank="1" type="list">
      <formula1>"1,0"</formula1>
    </dataValidation>
    <dataValidation sqref="C46:C85" showDropDown="0" showInputMessage="0" showErrorMessage="0" allowBlank="1" type="list">
      <formula1>"boom,rear_leg,front_leg,platform"</formula1>
    </dataValidation>
    <dataValidation sqref="D46:D85" showDropDown="0" showInputMessage="0" showErrorMessage="0" allowBlank="1" type="list">
      <formula1>"boom_local,global"</formula1>
    </dataValidation>
    <dataValidation sqref="A92:A131" showDropDown="0" showInputMessage="0" showErrorMessage="0" allowBlank="1" type="list">
      <formula1>"1,0"</formula1>
    </dataValidation>
    <dataValidation sqref="C92:C131" showDropDown="0" showInputMessage="0" showErrorMessage="0" allowBlank="1" type="list">
      <formula1>"boom,rear_leg,front_leg,platform"</formula1>
    </dataValidation>
    <dataValidation sqref="D92:D131" showDropDown="0" showInputMessage="0" showErrorMessage="0" allowBlank="1" type="list">
      <formula1>"boom_local,global"</formula1>
    </dataValidation>
    <dataValidation sqref="A138:A217" showDropDown="0" showInputMessage="0" showErrorMessage="0" allowBlank="1" type="list">
      <formula1>"1,0"</formula1>
    </dataValidation>
    <dataValidation sqref="C138:C217" showDropDown="0" showInputMessage="0" showErrorMessage="0" allowBlank="1" type="list">
      <formula1>"boom,rear_leg,front_leg,platform"</formula1>
    </dataValidation>
    <dataValidation sqref="D138:D217" showDropDown="0" showInputMessage="0" showErrorMessage="0" allowBlank="1" type="list">
      <formula1>"boom_local,global,hanging"</formula1>
    </dataValidation>
    <dataValidation sqref="K138:K217" showDropDown="0" showInputMessage="0" showErrorMessage="0" allowBlank="1" type="list">
      <formula1>"1,0"</formula1>
    </dataValidation>
    <dataValidation sqref="A224:A283" showDropDown="0" showInputMessage="0" showErrorMessage="0" allowBlank="1" type="list">
      <formula1>"1,0"</formula1>
    </dataValidation>
    <dataValidation sqref="A290:A297" showDropDown="0" showInputMessage="0" showErrorMessage="0" allowBlank="1" type="list">
      <formula1>"1,0"</formula1>
    </dataValidation>
    <dataValidation sqref="C290:C297" showDropDown="0" showInputMessage="0" showErrorMessage="0" allowBlank="1" type="list">
      <formula1>"fixed,solve"</formula1>
    </dataValidation>
    <dataValidation sqref="A304:A311" showDropDown="0" showInputMessage="0" showErrorMessage="0" allowBlank="1" type="list">
      <formula1>"1,0"</formula1>
    </dataValidation>
    <dataValidation sqref="O304:O311" showDropDown="0" showInputMessage="0" showErrorMessage="0" allowBlank="1" type="list">
      <formula1>"1,0"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Geometry -- node positions and crane-frame motion</t>
        </is>
      </c>
    </row>
    <row r="3">
      <c r="A3" s="9" t="inlineStr">
        <is>
          <t>Crane (global) frame: x horizontal outboard, y lateral, z up; node positions are (x, z).</t>
        </is>
      </c>
    </row>
    <row r="4">
      <c r="A4" s="9" t="inlineStr">
        <is>
          <t>Boom angle: degrees from +x toward +z, about the boom heel (node boom_heel). Boom-local (u, w): u along the boom, w normal (left of u). x = heel_x + u*cos(a) - w*sin(a); z = heel_z + u*sin(a) + w*cos(a).</t>
        </is>
      </c>
    </row>
    <row r="5">
      <c r="A5" s="9" t="inlineStr">
        <is>
          <t>Hanging nodes sit directly below their parent node (same x, z lower by the drop). A missing drop counts as 1 m (the app's default). One level of hanging only (a hanging node whose parent is hanging trips the hanging_chain check).</t>
        </is>
      </c>
    </row>
    <row r="6">
      <c r="A6" s="9" t="inlineStr">
        <is>
          <t>The active hook (the scene hoist's hook node) hangs the tackle length below its support node instead of its idle drop. Support node = the hook node's parent, else the hoist's support node. A negative tackle length counts as 0.</t>
        </is>
      </c>
    </row>
    <row r="7">
      <c r="A7" s="9" t="inlineStr">
        <is>
          <t>Vessel frame: x forward, y port, z up. Pitch positive bow-down, roll positive to starboard; yaw drops out. Gravity in the vessel frame: (g sin p, -g sin r cos p, -g cos r cos p), g = |gravity|.</t>
        </is>
      </c>
    </row>
    <row r="8">
      <c r="A8" s="9" t="inlineStr">
        <is>
          <t>Crane frame = vessel frame rotated about z by the slewing angle: a horizontal vessel vector (x, y) becomes (cos s x + sin s y, -sin s x + cos s y). z is unchanged.</t>
        </is>
      </c>
    </row>
    <row r="9">
      <c r="A9" s="9" t="inlineStr">
        <is>
          <t>Load acceleration k = g - a (crane frame); the solver's equivalent reference acceleration is -k horizontally and -g - kz vertically (solver_ax/ay/az).</t>
        </is>
      </c>
    </row>
    <row r="12">
      <c r="A12" s="6" t="inlineStr">
        <is>
          <t>Boom rotation and active hook</t>
        </is>
      </c>
    </row>
    <row r="13">
      <c r="A13" t="inlineStr">
        <is>
          <t>Boom angle</t>
        </is>
      </c>
      <c r="B13" s="3">
        <f>RADIANS(Inputs!$B$27)</f>
        <v/>
      </c>
      <c r="C13" t="inlineStr">
        <is>
          <t>rad</t>
        </is>
      </c>
      <c r="D13" s="7" t="inlineStr">
        <is>
          <t>boom_angle_rad</t>
        </is>
      </c>
    </row>
    <row r="14">
      <c r="A14" t="inlineStr">
        <is>
          <t>cos(boom angle)</t>
        </is>
      </c>
      <c r="B14" s="3">
        <f>COS(Geometry!$B$13)</f>
        <v/>
      </c>
      <c r="D14" s="7" t="inlineStr">
        <is>
          <t>boom_cos</t>
        </is>
      </c>
    </row>
    <row r="15">
      <c r="A15" t="inlineStr">
        <is>
          <t>sin(boom angle)</t>
        </is>
      </c>
      <c r="B15" s="3">
        <f>SIN(Geometry!$B$13)</f>
        <v/>
      </c>
      <c r="D15" s="7" t="inlineStr">
        <is>
          <t>boom_sin</t>
        </is>
      </c>
    </row>
    <row r="16">
      <c r="A16" t="inlineStr">
        <is>
          <t>Row of node boom_heel in nodes</t>
        </is>
      </c>
      <c r="B16" s="3">
        <f>IFERROR(MATCH("boom_heel",Geometry!$B$58:$B$137,0),0)</f>
        <v/>
      </c>
      <c r="C16" t="inlineStr">
        <is>
          <t>row</t>
        </is>
      </c>
      <c r="D16" s="7" t="inlineStr">
        <is>
          <t>heel_row  -- 0 = missing</t>
        </is>
      </c>
    </row>
    <row r="17">
      <c r="A17" t="inlineStr">
        <is>
          <t>Boom heel x</t>
        </is>
      </c>
      <c r="B17" s="3">
        <f>IF(Geometry!$B$16&gt;0,INDEX(Inputs!$E$138:$E$217,Geometry!$B$16),0)</f>
        <v/>
      </c>
      <c r="C17" t="inlineStr">
        <is>
          <t>m</t>
        </is>
      </c>
      <c r="D17" s="7" t="inlineStr">
        <is>
          <t>heel_x_m</t>
        </is>
      </c>
    </row>
    <row r="18">
      <c r="A18" t="inlineStr">
        <is>
          <t>Boom heel z</t>
        </is>
      </c>
      <c r="B18" s="3">
        <f>IF(Geometry!$B$16&gt;0,INDEX(Inputs!$F$138:$F$217,Geometry!$B$16),0)</f>
        <v/>
      </c>
      <c r="C18" t="inlineStr">
        <is>
          <t>m</t>
        </is>
      </c>
      <c r="D18" s="7" t="inlineStr">
        <is>
          <t>heel_z_m</t>
        </is>
      </c>
    </row>
    <row r="19">
      <c r="A19" t="inlineStr">
        <is>
          <t>Tackle length used</t>
        </is>
      </c>
      <c r="B19" s="3">
        <f>MAX(0,Inputs!$B$29)</f>
        <v/>
      </c>
      <c r="C19" t="inlineStr">
        <is>
          <t>m</t>
        </is>
      </c>
      <c r="D19" s="7" t="inlineStr">
        <is>
          <t>tackle_m  -- max(0, scene value)</t>
        </is>
      </c>
    </row>
    <row r="20">
      <c r="A20" t="inlineStr">
        <is>
          <t>Active hook node id</t>
        </is>
      </c>
      <c r="B20" s="3">
        <f>IFERROR(INDEX(Inputs!$D$304:$D$311,MATCH(Inputs!$B$26,Inputs!$B$304:$B$311,0))&amp;"","")</f>
        <v/>
      </c>
      <c r="D20" s="7" t="inlineStr">
        <is>
          <t>hook_id</t>
        </is>
      </c>
    </row>
    <row r="21">
      <c r="A21" t="inlineStr">
        <is>
          <t>Row of the hook node in nodes</t>
        </is>
      </c>
      <c r="B21" s="3">
        <f>IF(Geometry!$B$20="",0,IFERROR(MATCH(Geometry!$B$20,Geometry!$B$58:$B$137,0),0))</f>
        <v/>
      </c>
      <c r="C21" t="inlineStr">
        <is>
          <t>row</t>
        </is>
      </c>
      <c r="D21" s="7" t="inlineStr">
        <is>
          <t>hook_row  -- 0 = missing</t>
        </is>
      </c>
    </row>
    <row r="22">
      <c r="A22" t="inlineStr">
        <is>
          <t>Hook node's parent (below_node_id)</t>
        </is>
      </c>
      <c r="B22" s="3">
        <f>IF(Geometry!$B$21&gt;0,INDEX(Inputs!$I$138:$I$217,Geometry!$B$21)&amp;"","")</f>
        <v/>
      </c>
      <c r="D22" s="7" t="inlineStr">
        <is>
          <t>hook_parent_id</t>
        </is>
      </c>
    </row>
    <row r="23">
      <c r="A23" t="inlineStr">
        <is>
          <t>Hook support node id</t>
        </is>
      </c>
      <c r="B23" s="3">
        <f>IF(Geometry!$B$22&lt;&gt;"",Geometry!$B$22,IFERROR(INDEX(Inputs!$E$304:$E$311,MATCH(Inputs!$B$26,Inputs!$B$304:$B$311,0))&amp;"",""))</f>
        <v/>
      </c>
      <c r="D23" s="7" t="inlineStr">
        <is>
          <t>support_id</t>
        </is>
      </c>
    </row>
    <row r="24">
      <c r="A24" t="inlineStr">
        <is>
          <t>Row of the support node in nodes</t>
        </is>
      </c>
      <c r="B24" s="3">
        <f>IF(Geometry!$B$23="",0,IFERROR(MATCH(Geometry!$B$23,Geometry!$B$58:$B$137,0),0))</f>
        <v/>
      </c>
      <c r="C24" t="inlineStr">
        <is>
          <t>row</t>
        </is>
      </c>
      <c r="D24" s="7" t="inlineStr">
        <is>
          <t>support_row  -- 0 = missing</t>
        </is>
      </c>
    </row>
    <row r="25">
      <c r="A25" t="inlineStr">
        <is>
          <t>Support node z (before the hook moves)</t>
        </is>
      </c>
      <c r="B25" s="3">
        <f>IF(Geometry!$B$24&gt;0,INDEX(Geometry!$I$58:$I$137,Geometry!$B$24),0)</f>
        <v/>
      </c>
      <c r="C25" t="inlineStr">
        <is>
          <t>m</t>
        </is>
      </c>
      <c r="D25" s="7" t="inlineStr">
        <is>
          <t>support_z_m</t>
        </is>
      </c>
    </row>
    <row r="26">
      <c r="A26" t="inlineStr">
        <is>
          <t>Hook is lowered by the tackle</t>
        </is>
      </c>
      <c r="B26" s="3">
        <f>IF(AND(Geometry!$B$21&gt;0,Geometry!$B$24&gt;0),1,0)</f>
        <v/>
      </c>
      <c r="C26" t="inlineStr">
        <is>
          <t>1/0</t>
        </is>
      </c>
      <c r="D26" s="7" t="inlineStr">
        <is>
          <t>hook_moves</t>
        </is>
      </c>
    </row>
    <row r="28">
      <c r="A28" s="6" t="inlineStr">
        <is>
          <t>Vessel-frame motion in the crane frame</t>
        </is>
      </c>
    </row>
    <row r="29">
      <c r="A29" t="inlineStr">
        <is>
          <t>Gravity magnitude |g|</t>
        </is>
      </c>
      <c r="B29" s="3">
        <f>ABS(Inputs!$B$5)</f>
        <v/>
      </c>
      <c r="C29" t="inlineStr">
        <is>
          <t>m/s^2</t>
        </is>
      </c>
      <c r="D29" s="7" t="inlineStr">
        <is>
          <t>g_m_s2</t>
        </is>
      </c>
    </row>
    <row r="30">
      <c r="A30" t="inlineStr">
        <is>
          <t>Vessel roll</t>
        </is>
      </c>
      <c r="B30" s="3">
        <f>RADIANS(Inputs!$B$39)</f>
        <v/>
      </c>
      <c r="C30" t="inlineStr">
        <is>
          <t>rad</t>
        </is>
      </c>
      <c r="D30" s="7" t="inlineStr">
        <is>
          <t>roll_rad</t>
        </is>
      </c>
    </row>
    <row r="31">
      <c r="A31" t="inlineStr">
        <is>
          <t>Vessel pitch</t>
        </is>
      </c>
      <c r="B31" s="3">
        <f>RADIANS(Inputs!$B$40)</f>
        <v/>
      </c>
      <c r="C31" t="inlineStr">
        <is>
          <t>rad</t>
        </is>
      </c>
      <c r="D31" s="7" t="inlineStr">
        <is>
          <t>pitch_rad</t>
        </is>
      </c>
    </row>
    <row r="32">
      <c r="A32" t="inlineStr">
        <is>
          <t>Slewing angle</t>
        </is>
      </c>
      <c r="B32" s="3">
        <f>RADIANS(Inputs!$B$41)</f>
        <v/>
      </c>
      <c r="C32" t="inlineStr">
        <is>
          <t>rad</t>
        </is>
      </c>
      <c r="D32" s="7" t="inlineStr">
        <is>
          <t>slew_rad</t>
        </is>
      </c>
    </row>
    <row r="33">
      <c r="A33" t="inlineStr">
        <is>
          <t>cos(slew)</t>
        </is>
      </c>
      <c r="B33" s="3">
        <f>COS(Geometry!$B$32)</f>
        <v/>
      </c>
      <c r="D33" s="7" t="inlineStr">
        <is>
          <t>slew_cos</t>
        </is>
      </c>
    </row>
    <row r="34">
      <c r="A34" t="inlineStr">
        <is>
          <t>sin(slew)</t>
        </is>
      </c>
      <c r="B34" s="3">
        <f>SIN(Geometry!$B$32)</f>
        <v/>
      </c>
      <c r="D34" s="7" t="inlineStr">
        <is>
          <t>slew_sin</t>
        </is>
      </c>
    </row>
    <row r="35">
      <c r="A35" t="inlineStr">
        <is>
          <t>Gravity x, vessel frame</t>
        </is>
      </c>
      <c r="B35" s="3">
        <f>Geometry!$B$29*SIN(Geometry!$B$31)</f>
        <v/>
      </c>
      <c r="C35" t="inlineStr">
        <is>
          <t>m/s^2</t>
        </is>
      </c>
      <c r="D35" s="7" t="inlineStr">
        <is>
          <t>gx_vessel</t>
        </is>
      </c>
    </row>
    <row r="36">
      <c r="A36" t="inlineStr">
        <is>
          <t>Gravity y, vessel frame</t>
        </is>
      </c>
      <c r="B36" s="3">
        <f>-Geometry!$B$29*SIN(Geometry!$B$30)*COS(Geometry!$B$31)</f>
        <v/>
      </c>
      <c r="C36" t="inlineStr">
        <is>
          <t>m/s^2</t>
        </is>
      </c>
      <c r="D36" s="7" t="inlineStr">
        <is>
          <t>gy_vessel</t>
        </is>
      </c>
    </row>
    <row r="37">
      <c r="A37" t="inlineStr">
        <is>
          <t>Gravity z, vessel frame</t>
        </is>
      </c>
      <c r="B37" s="3">
        <f>-Geometry!$B$29*COS(Geometry!$B$30)*COS(Geometry!$B$31)</f>
        <v/>
      </c>
      <c r="C37" t="inlineStr">
        <is>
          <t>m/s^2</t>
        </is>
      </c>
      <c r="D37" s="7" t="inlineStr">
        <is>
          <t>gz_vessel</t>
        </is>
      </c>
    </row>
    <row r="38">
      <c r="A38" t="inlineStr">
        <is>
          <t>k x = g - a, vessel frame</t>
        </is>
      </c>
      <c r="B38" s="3">
        <f>Geometry!$B$35-Inputs!$B$34</f>
        <v/>
      </c>
      <c r="C38" t="inlineStr">
        <is>
          <t>m/s^2</t>
        </is>
      </c>
      <c r="D38" s="7" t="inlineStr">
        <is>
          <t>kx_vessel</t>
        </is>
      </c>
    </row>
    <row r="39">
      <c r="A39" t="inlineStr">
        <is>
          <t>k y = g - a, vessel frame</t>
        </is>
      </c>
      <c r="B39" s="3">
        <f>Geometry!$B$36-Inputs!$B$35</f>
        <v/>
      </c>
      <c r="C39" t="inlineStr">
        <is>
          <t>m/s^2</t>
        </is>
      </c>
      <c r="D39" s="7" t="inlineStr">
        <is>
          <t>ky_vessel</t>
        </is>
      </c>
    </row>
    <row r="40">
      <c r="A40" t="inlineStr">
        <is>
          <t>Gravity x, crane frame</t>
        </is>
      </c>
      <c r="B40" s="3">
        <f>Geometry!$B$33*Geometry!$B$35+Geometry!$B$34*Geometry!$B$36</f>
        <v/>
      </c>
      <c r="C40" t="inlineStr">
        <is>
          <t>m/s^2</t>
        </is>
      </c>
      <c r="D40" s="7" t="inlineStr">
        <is>
          <t>gx</t>
        </is>
      </c>
    </row>
    <row r="41">
      <c r="A41" t="inlineStr">
        <is>
          <t>Gravity y, crane frame</t>
        </is>
      </c>
      <c r="B41" s="3">
        <f>-Geometry!$B$34*Geometry!$B$35+Geometry!$B$33*Geometry!$B$36</f>
        <v/>
      </c>
      <c r="C41" t="inlineStr">
        <is>
          <t>m/s^2</t>
        </is>
      </c>
      <c r="D41" s="7" t="inlineStr">
        <is>
          <t>gy</t>
        </is>
      </c>
    </row>
    <row r="42">
      <c r="A42" t="inlineStr">
        <is>
          <t>Gravity z, crane frame</t>
        </is>
      </c>
      <c r="B42" s="3">
        <f>Geometry!$B$37</f>
        <v/>
      </c>
      <c r="C42" t="inlineStr">
        <is>
          <t>m/s^2</t>
        </is>
      </c>
      <c r="D42" s="7" t="inlineStr">
        <is>
          <t>gz</t>
        </is>
      </c>
    </row>
    <row r="43">
      <c r="A43" t="inlineStr">
        <is>
          <t>Vessel acceleration x, crane frame</t>
        </is>
      </c>
      <c r="B43" s="3">
        <f>Geometry!$B$33*Inputs!$B$34+Geometry!$B$34*Inputs!$B$35</f>
        <v/>
      </c>
      <c r="C43" t="inlineStr">
        <is>
          <t>m/s^2</t>
        </is>
      </c>
      <c r="D43" s="7" t="inlineStr">
        <is>
          <t>ax</t>
        </is>
      </c>
    </row>
    <row r="44">
      <c r="A44" t="inlineStr">
        <is>
          <t>Vessel acceleration y, crane frame</t>
        </is>
      </c>
      <c r="B44" s="3">
        <f>-Geometry!$B$34*Inputs!$B$34+Geometry!$B$33*Inputs!$B$35</f>
        <v/>
      </c>
      <c r="C44" t="inlineStr">
        <is>
          <t>m/s^2</t>
        </is>
      </c>
      <c r="D44" s="7" t="inlineStr">
        <is>
          <t>ay</t>
        </is>
      </c>
    </row>
    <row r="45">
      <c r="A45" t="inlineStr">
        <is>
          <t>Vessel acceleration z, crane frame</t>
        </is>
      </c>
      <c r="B45" s="3">
        <f>Inputs!$B$36</f>
        <v/>
      </c>
      <c r="C45" t="inlineStr">
        <is>
          <t>m/s^2</t>
        </is>
      </c>
      <c r="D45" s="7" t="inlineStr">
        <is>
          <t>az</t>
        </is>
      </c>
    </row>
    <row r="46">
      <c r="A46" t="inlineStr">
        <is>
          <t>Load acceleration kx = gx - ax</t>
        </is>
      </c>
      <c r="B46" s="3">
        <f>Geometry!$B$40-Geometry!$B$43</f>
        <v/>
      </c>
      <c r="C46" t="inlineStr">
        <is>
          <t>m/s^2</t>
        </is>
      </c>
      <c r="D46" s="7" t="inlineStr">
        <is>
          <t>kx</t>
        </is>
      </c>
    </row>
    <row r="47">
      <c r="A47" t="inlineStr">
        <is>
          <t>Load acceleration ky = gy - ay</t>
        </is>
      </c>
      <c r="B47" s="3">
        <f>Geometry!$B$41-Geometry!$B$44</f>
        <v/>
      </c>
      <c r="C47" t="inlineStr">
        <is>
          <t>m/s^2</t>
        </is>
      </c>
      <c r="D47" s="7" t="inlineStr">
        <is>
          <t>ky</t>
        </is>
      </c>
    </row>
    <row r="48">
      <c r="A48" t="inlineStr">
        <is>
          <t>Load acceleration kz = gz - az</t>
        </is>
      </c>
      <c r="B48" s="3">
        <f>Geometry!$B$42-Geometry!$B$45</f>
        <v/>
      </c>
      <c r="C48" t="inlineStr">
        <is>
          <t>m/s^2</t>
        </is>
      </c>
      <c r="D48" s="7" t="inlineStr">
        <is>
          <t>kz</t>
        </is>
      </c>
    </row>
    <row r="49">
      <c r="A49" t="inlineStr">
        <is>
          <t>Solver reference acceleration x (= -kx)</t>
        </is>
      </c>
      <c r="B49" s="3">
        <f>-Geometry!$B$46</f>
        <v/>
      </c>
      <c r="C49" t="inlineStr">
        <is>
          <t>m/s^2</t>
        </is>
      </c>
      <c r="D49" s="7" t="inlineStr">
        <is>
          <t>solver_ax</t>
        </is>
      </c>
    </row>
    <row r="50">
      <c r="A50" t="inlineStr">
        <is>
          <t>Solver reference acceleration y (= -ky)</t>
        </is>
      </c>
      <c r="B50" s="3">
        <f>-Geometry!$B$47</f>
        <v/>
      </c>
      <c r="C50" t="inlineStr">
        <is>
          <t>m/s^2</t>
        </is>
      </c>
      <c r="D50" s="7" t="inlineStr">
        <is>
          <t>solver_ay</t>
        </is>
      </c>
    </row>
    <row r="51">
      <c r="A51" t="inlineStr">
        <is>
          <t>Solver reference acceleration z (= -g - kz)</t>
        </is>
      </c>
      <c r="B51" s="3">
        <f>-Geometry!$B$29-Geometry!$B$48</f>
        <v/>
      </c>
      <c r="C51" t="inlineStr">
        <is>
          <t>m/s^2</t>
        </is>
      </c>
      <c r="D51" s="7" t="inlineStr">
        <is>
          <t>solver_az</t>
        </is>
      </c>
    </row>
    <row r="52">
      <c r="A52" t="inlineStr">
        <is>
          <t>Pitch angular acceleration, crane frame</t>
        </is>
      </c>
      <c r="B52" s="3">
        <f>-Geometry!$B$34*Inputs!$B$38+Geometry!$B$33*Inputs!$B$37</f>
        <v/>
      </c>
      <c r="C52" t="inlineStr">
        <is>
          <t>rad/s^2</t>
        </is>
      </c>
      <c r="D52" s="7" t="inlineStr">
        <is>
          <t>pitch_accel_crane</t>
        </is>
      </c>
    </row>
    <row r="53">
      <c r="A53" t="inlineStr">
        <is>
          <t>Roll angular acceleration, crane frame</t>
        </is>
      </c>
      <c r="B53" s="3">
        <f>Geometry!$B$33*Inputs!$B$38+Geometry!$B$34*Inputs!$B$37</f>
        <v/>
      </c>
      <c r="C53" t="inlineStr">
        <is>
          <t>rad/s^2</t>
        </is>
      </c>
      <c r="D53" s="7" t="inlineStr">
        <is>
          <t>roll_accel_crane</t>
        </is>
      </c>
    </row>
    <row r="55">
      <c r="A55" s="6" t="inlineStr">
        <is>
          <t>Node positions (row i = Inputs nodes row i)</t>
        </is>
      </c>
    </row>
    <row r="56">
      <c r="A56" s="8" t="inlineStr">
        <is>
          <t>Active [1/0]</t>
        </is>
      </c>
      <c r="B56" s="8" t="inlineStr">
        <is>
          <t>Id</t>
        </is>
      </c>
      <c r="C56" s="8" t="inlineStr">
        <is>
          <t>Frame</t>
        </is>
      </c>
      <c r="D56" s="8" t="inlineStr">
        <is>
          <t>x (boom-local rotated, or global; 0 if hanging) [m]</t>
        </is>
      </c>
      <c r="E56" s="8" t="inlineStr">
        <is>
          <t>z (boom-local rotated, or global; 0 if hanging) [m]</t>
        </is>
      </c>
      <c r="F56" s="8" t="inlineStr">
        <is>
          <t>Row of the parent node (hanging) [row]</t>
        </is>
      </c>
      <c r="G56" s="8" t="inlineStr">
        <is>
          <t>Drop below parent (hanging) [m]</t>
        </is>
      </c>
      <c r="H56" s="8" t="inlineStr">
        <is>
          <t>x (kinematics: hanging resolved) [m]</t>
        </is>
      </c>
      <c r="I56" s="8" t="inlineStr">
        <is>
          <t>z (kinematics: hanging resolved) [m]</t>
        </is>
      </c>
      <c r="J56" s="8" t="inlineStr">
        <is>
          <t>Active hook node [1/0]</t>
        </is>
      </c>
      <c r="K56" s="8" t="inlineStr">
        <is>
          <t>x global [m]</t>
        </is>
      </c>
      <c r="L56" s="8" t="inlineStr">
        <is>
          <t>z global [m]</t>
        </is>
      </c>
    </row>
    <row r="57">
      <c r="A57" s="7" t="inlineStr">
        <is>
          <t>active (from Inputs)</t>
        </is>
      </c>
      <c r="B57" s="7" t="inlineStr">
        <is>
          <t>id</t>
        </is>
      </c>
      <c r="C57" s="7" t="inlineStr">
        <is>
          <t>frame</t>
        </is>
      </c>
      <c r="D57" s="7" t="inlineStr">
        <is>
          <t>x_base_m</t>
        </is>
      </c>
      <c r="E57" s="7" t="inlineStr">
        <is>
          <t>z_base_m</t>
        </is>
      </c>
      <c r="F57" s="7" t="inlineStr">
        <is>
          <t>parent_row (0 = none)</t>
        </is>
      </c>
      <c r="G57" s="7" t="inlineStr">
        <is>
          <t>drop_m</t>
        </is>
      </c>
      <c r="H57" s="7" t="inlineStr">
        <is>
          <t>x_kin_m</t>
        </is>
      </c>
      <c r="I57" s="7" t="inlineStr">
        <is>
          <t>z_kin_m</t>
        </is>
      </c>
      <c r="J57" s="7" t="inlineStr">
        <is>
          <t>is_hook</t>
        </is>
      </c>
      <c r="K57" s="7" t="inlineStr">
        <is>
          <t>x_m (the position the solver uses)</t>
        </is>
      </c>
      <c r="L57" s="7" t="inlineStr">
        <is>
          <t>z_m (the position the solver uses)</t>
        </is>
      </c>
    </row>
    <row r="58">
      <c r="A58" s="3">
        <f>Inputs!$A$138</f>
        <v/>
      </c>
      <c r="B58" s="3">
        <f>IF(Geometry!$A$58=1,Inputs!$B$138&amp;"","")</f>
        <v/>
      </c>
      <c r="C58" s="3">
        <f>IF(Geometry!$A$58=1,Inputs!$D$138&amp;"","")</f>
        <v/>
      </c>
      <c r="D58" s="3">
        <f>IF(Geometry!$C$58="boom_local",Geometry!$B$17+Inputs!$G$138*Geometry!$B$14-Inputs!$H$138*Geometry!$B$15,IF(Geometry!$C$58="global",Inputs!$E$138,0))</f>
        <v/>
      </c>
      <c r="E58" s="3">
        <f>IF(Geometry!$C$58="boom_local",Geometry!$B$18+Inputs!$G$138*Geometry!$B$15+Inputs!$H$138*Geometry!$B$14,IF(Geometry!$C$58="global",Inputs!$F$138,0))</f>
        <v/>
      </c>
      <c r="F58" s="3">
        <f>IF(AND(Geometry!$C$58="hanging",Inputs!$I$138&lt;&gt;""),IFERROR(MATCH(Inputs!$I$138&amp;"",Geometry!$B$58:$B$137,0),0),0)</f>
        <v/>
      </c>
      <c r="G58" s="3">
        <f>IF(Geometry!$C$58="hanging",IF(Inputs!$J$138="",1,Inputs!$J$138),0)</f>
        <v/>
      </c>
      <c r="H58" s="3">
        <f>IF(Geometry!$C$58="hanging",IF(Geometry!$F$58&gt;0,INDEX(Geometry!$D$58:$D$137,Geometry!$F$58),0),Geometry!$D$58)</f>
        <v/>
      </c>
      <c r="I58" s="3">
        <f>IF(Geometry!$C$58="hanging",IF(Geometry!$F$58&gt;0,INDEX(Geometry!$E$58:$E$137,Geometry!$F$58)-Geometry!$G$58,0),Geometry!$E$58)</f>
        <v/>
      </c>
      <c r="J58" s="3">
        <f>IF(AND(Geometry!$B$26=1,Geometry!$A$58=1,Geometry!$B$58=Geometry!$B$20),1,0)</f>
        <v/>
      </c>
      <c r="K58" s="3">
        <f>Geometry!$H$58</f>
        <v/>
      </c>
      <c r="L58" s="3">
        <f>IF(Geometry!$J$58=1,Geometry!$B$25-Geometry!$B$19,Geometry!$I$58)</f>
        <v/>
      </c>
    </row>
    <row r="59">
      <c r="A59" s="3">
        <f>Inputs!$A$139</f>
        <v/>
      </c>
      <c r="B59" s="3">
        <f>IF(Geometry!$A$59=1,Inputs!$B$139&amp;"","")</f>
        <v/>
      </c>
      <c r="C59" s="3">
        <f>IF(Geometry!$A$59=1,Inputs!$D$139&amp;"","")</f>
        <v/>
      </c>
      <c r="D59" s="3">
        <f>IF(Geometry!$C$59="boom_local",Geometry!$B$17+Inputs!$G$139*Geometry!$B$14-Inputs!$H$139*Geometry!$B$15,IF(Geometry!$C$59="global",Inputs!$E$139,0))</f>
        <v/>
      </c>
      <c r="E59" s="3">
        <f>IF(Geometry!$C$59="boom_local",Geometry!$B$18+Inputs!$G$139*Geometry!$B$15+Inputs!$H$139*Geometry!$B$14,IF(Geometry!$C$59="global",Inputs!$F$139,0))</f>
        <v/>
      </c>
      <c r="F59" s="3">
        <f>IF(AND(Geometry!$C$59="hanging",Inputs!$I$139&lt;&gt;""),IFERROR(MATCH(Inputs!$I$139&amp;"",Geometry!$B$58:$B$137,0),0),0)</f>
        <v/>
      </c>
      <c r="G59" s="3">
        <f>IF(Geometry!$C$59="hanging",IF(Inputs!$J$139="",1,Inputs!$J$139),0)</f>
        <v/>
      </c>
      <c r="H59" s="3">
        <f>IF(Geometry!$C$59="hanging",IF(Geometry!$F$59&gt;0,INDEX(Geometry!$D$58:$D$137,Geometry!$F$59),0),Geometry!$D$59)</f>
        <v/>
      </c>
      <c r="I59" s="3">
        <f>IF(Geometry!$C$59="hanging",IF(Geometry!$F$59&gt;0,INDEX(Geometry!$E$58:$E$137,Geometry!$F$59)-Geometry!$G$59,0),Geometry!$E$59)</f>
        <v/>
      </c>
      <c r="J59" s="3">
        <f>IF(AND(Geometry!$B$26=1,Geometry!$A$59=1,Geometry!$B$59=Geometry!$B$20),1,0)</f>
        <v/>
      </c>
      <c r="K59" s="3">
        <f>Geometry!$H$59</f>
        <v/>
      </c>
      <c r="L59" s="3">
        <f>IF(Geometry!$J$59=1,Geometry!$B$25-Geometry!$B$19,Geometry!$I$59)</f>
        <v/>
      </c>
    </row>
    <row r="60">
      <c r="A60" s="3">
        <f>Inputs!$A$140</f>
        <v/>
      </c>
      <c r="B60" s="3">
        <f>IF(Geometry!$A$60=1,Inputs!$B$140&amp;"","")</f>
        <v/>
      </c>
      <c r="C60" s="3">
        <f>IF(Geometry!$A$60=1,Inputs!$D$140&amp;"","")</f>
        <v/>
      </c>
      <c r="D60" s="3">
        <f>IF(Geometry!$C$60="boom_local",Geometry!$B$17+Inputs!$G$140*Geometry!$B$14-Inputs!$H$140*Geometry!$B$15,IF(Geometry!$C$60="global",Inputs!$E$140,0))</f>
        <v/>
      </c>
      <c r="E60" s="3">
        <f>IF(Geometry!$C$60="boom_local",Geometry!$B$18+Inputs!$G$140*Geometry!$B$15+Inputs!$H$140*Geometry!$B$14,IF(Geometry!$C$60="global",Inputs!$F$140,0))</f>
        <v/>
      </c>
      <c r="F60" s="3">
        <f>IF(AND(Geometry!$C$60="hanging",Inputs!$I$140&lt;&gt;""),IFERROR(MATCH(Inputs!$I$140&amp;"",Geometry!$B$58:$B$137,0),0),0)</f>
        <v/>
      </c>
      <c r="G60" s="3">
        <f>IF(Geometry!$C$60="hanging",IF(Inputs!$J$140="",1,Inputs!$J$140),0)</f>
        <v/>
      </c>
      <c r="H60" s="3">
        <f>IF(Geometry!$C$60="hanging",IF(Geometry!$F$60&gt;0,INDEX(Geometry!$D$58:$D$137,Geometry!$F$60),0),Geometry!$D$60)</f>
        <v/>
      </c>
      <c r="I60" s="3">
        <f>IF(Geometry!$C$60="hanging",IF(Geometry!$F$60&gt;0,INDEX(Geometry!$E$58:$E$137,Geometry!$F$60)-Geometry!$G$60,0),Geometry!$E$60)</f>
        <v/>
      </c>
      <c r="J60" s="3">
        <f>IF(AND(Geometry!$B$26=1,Geometry!$A$60=1,Geometry!$B$60=Geometry!$B$20),1,0)</f>
        <v/>
      </c>
      <c r="K60" s="3">
        <f>Geometry!$H$60</f>
        <v/>
      </c>
      <c r="L60" s="3">
        <f>IF(Geometry!$J$60=1,Geometry!$B$25-Geometry!$B$19,Geometry!$I$60)</f>
        <v/>
      </c>
    </row>
    <row r="61">
      <c r="A61" s="3">
        <f>Inputs!$A$141</f>
        <v/>
      </c>
      <c r="B61" s="3">
        <f>IF(Geometry!$A$61=1,Inputs!$B$141&amp;"","")</f>
        <v/>
      </c>
      <c r="C61" s="3">
        <f>IF(Geometry!$A$61=1,Inputs!$D$141&amp;"","")</f>
        <v/>
      </c>
      <c r="D61" s="3">
        <f>IF(Geometry!$C$61="boom_local",Geometry!$B$17+Inputs!$G$141*Geometry!$B$14-Inputs!$H$141*Geometry!$B$15,IF(Geometry!$C$61="global",Inputs!$E$141,0))</f>
        <v/>
      </c>
      <c r="E61" s="3">
        <f>IF(Geometry!$C$61="boom_local",Geometry!$B$18+Inputs!$G$141*Geometry!$B$15+Inputs!$H$141*Geometry!$B$14,IF(Geometry!$C$61="global",Inputs!$F$141,0))</f>
        <v/>
      </c>
      <c r="F61" s="3">
        <f>IF(AND(Geometry!$C$61="hanging",Inputs!$I$141&lt;&gt;""),IFERROR(MATCH(Inputs!$I$141&amp;"",Geometry!$B$58:$B$137,0),0),0)</f>
        <v/>
      </c>
      <c r="G61" s="3">
        <f>IF(Geometry!$C$61="hanging",IF(Inputs!$J$141="",1,Inputs!$J$141),0)</f>
        <v/>
      </c>
      <c r="H61" s="3">
        <f>IF(Geometry!$C$61="hanging",IF(Geometry!$F$61&gt;0,INDEX(Geometry!$D$58:$D$137,Geometry!$F$61),0),Geometry!$D$61)</f>
        <v/>
      </c>
      <c r="I61" s="3">
        <f>IF(Geometry!$C$61="hanging",IF(Geometry!$F$61&gt;0,INDEX(Geometry!$E$58:$E$137,Geometry!$F$61)-Geometry!$G$61,0),Geometry!$E$61)</f>
        <v/>
      </c>
      <c r="J61" s="3">
        <f>IF(AND(Geometry!$B$26=1,Geometry!$A$61=1,Geometry!$B$61=Geometry!$B$20),1,0)</f>
        <v/>
      </c>
      <c r="K61" s="3">
        <f>Geometry!$H$61</f>
        <v/>
      </c>
      <c r="L61" s="3">
        <f>IF(Geometry!$J$61=1,Geometry!$B$25-Geometry!$B$19,Geometry!$I$61)</f>
        <v/>
      </c>
    </row>
    <row r="62">
      <c r="A62" s="3">
        <f>Inputs!$A$142</f>
        <v/>
      </c>
      <c r="B62" s="3">
        <f>IF(Geometry!$A$62=1,Inputs!$B$142&amp;"","")</f>
        <v/>
      </c>
      <c r="C62" s="3">
        <f>IF(Geometry!$A$62=1,Inputs!$D$142&amp;"","")</f>
        <v/>
      </c>
      <c r="D62" s="3">
        <f>IF(Geometry!$C$62="boom_local",Geometry!$B$17+Inputs!$G$142*Geometry!$B$14-Inputs!$H$142*Geometry!$B$15,IF(Geometry!$C$62="global",Inputs!$E$142,0))</f>
        <v/>
      </c>
      <c r="E62" s="3">
        <f>IF(Geometry!$C$62="boom_local",Geometry!$B$18+Inputs!$G$142*Geometry!$B$15+Inputs!$H$142*Geometry!$B$14,IF(Geometry!$C$62="global",Inputs!$F$142,0))</f>
        <v/>
      </c>
      <c r="F62" s="3">
        <f>IF(AND(Geometry!$C$62="hanging",Inputs!$I$142&lt;&gt;""),IFERROR(MATCH(Inputs!$I$142&amp;"",Geometry!$B$58:$B$137,0),0),0)</f>
        <v/>
      </c>
      <c r="G62" s="3">
        <f>IF(Geometry!$C$62="hanging",IF(Inputs!$J$142="",1,Inputs!$J$142),0)</f>
        <v/>
      </c>
      <c r="H62" s="3">
        <f>IF(Geometry!$C$62="hanging",IF(Geometry!$F$62&gt;0,INDEX(Geometry!$D$58:$D$137,Geometry!$F$62),0),Geometry!$D$62)</f>
        <v/>
      </c>
      <c r="I62" s="3">
        <f>IF(Geometry!$C$62="hanging",IF(Geometry!$F$62&gt;0,INDEX(Geometry!$E$58:$E$137,Geometry!$F$62)-Geometry!$G$62,0),Geometry!$E$62)</f>
        <v/>
      </c>
      <c r="J62" s="3">
        <f>IF(AND(Geometry!$B$26=1,Geometry!$A$62=1,Geometry!$B$62=Geometry!$B$20),1,0)</f>
        <v/>
      </c>
      <c r="K62" s="3">
        <f>Geometry!$H$62</f>
        <v/>
      </c>
      <c r="L62" s="3">
        <f>IF(Geometry!$J$62=1,Geometry!$B$25-Geometry!$B$19,Geometry!$I$62)</f>
        <v/>
      </c>
    </row>
    <row r="63">
      <c r="A63" s="3">
        <f>Inputs!$A$143</f>
        <v/>
      </c>
      <c r="B63" s="3">
        <f>IF(Geometry!$A$63=1,Inputs!$B$143&amp;"","")</f>
        <v/>
      </c>
      <c r="C63" s="3">
        <f>IF(Geometry!$A$63=1,Inputs!$D$143&amp;"","")</f>
        <v/>
      </c>
      <c r="D63" s="3">
        <f>IF(Geometry!$C$63="boom_local",Geometry!$B$17+Inputs!$G$143*Geometry!$B$14-Inputs!$H$143*Geometry!$B$15,IF(Geometry!$C$63="global",Inputs!$E$143,0))</f>
        <v/>
      </c>
      <c r="E63" s="3">
        <f>IF(Geometry!$C$63="boom_local",Geometry!$B$18+Inputs!$G$143*Geometry!$B$15+Inputs!$H$143*Geometry!$B$14,IF(Geometry!$C$63="global",Inputs!$F$143,0))</f>
        <v/>
      </c>
      <c r="F63" s="3">
        <f>IF(AND(Geometry!$C$63="hanging",Inputs!$I$143&lt;&gt;""),IFERROR(MATCH(Inputs!$I$143&amp;"",Geometry!$B$58:$B$137,0),0),0)</f>
        <v/>
      </c>
      <c r="G63" s="3">
        <f>IF(Geometry!$C$63="hanging",IF(Inputs!$J$143="",1,Inputs!$J$143),0)</f>
        <v/>
      </c>
      <c r="H63" s="3">
        <f>IF(Geometry!$C$63="hanging",IF(Geometry!$F$63&gt;0,INDEX(Geometry!$D$58:$D$137,Geometry!$F$63),0),Geometry!$D$63)</f>
        <v/>
      </c>
      <c r="I63" s="3">
        <f>IF(Geometry!$C$63="hanging",IF(Geometry!$F$63&gt;0,INDEX(Geometry!$E$58:$E$137,Geometry!$F$63)-Geometry!$G$63,0),Geometry!$E$63)</f>
        <v/>
      </c>
      <c r="J63" s="3">
        <f>IF(AND(Geometry!$B$26=1,Geometry!$A$63=1,Geometry!$B$63=Geometry!$B$20),1,0)</f>
        <v/>
      </c>
      <c r="K63" s="3">
        <f>Geometry!$H$63</f>
        <v/>
      </c>
      <c r="L63" s="3">
        <f>IF(Geometry!$J$63=1,Geometry!$B$25-Geometry!$B$19,Geometry!$I$63)</f>
        <v/>
      </c>
    </row>
    <row r="64">
      <c r="A64" s="3">
        <f>Inputs!$A$144</f>
        <v/>
      </c>
      <c r="B64" s="3">
        <f>IF(Geometry!$A$64=1,Inputs!$B$144&amp;"","")</f>
        <v/>
      </c>
      <c r="C64" s="3">
        <f>IF(Geometry!$A$64=1,Inputs!$D$144&amp;"","")</f>
        <v/>
      </c>
      <c r="D64" s="3">
        <f>IF(Geometry!$C$64="boom_local",Geometry!$B$17+Inputs!$G$144*Geometry!$B$14-Inputs!$H$144*Geometry!$B$15,IF(Geometry!$C$64="global",Inputs!$E$144,0))</f>
        <v/>
      </c>
      <c r="E64" s="3">
        <f>IF(Geometry!$C$64="boom_local",Geometry!$B$18+Inputs!$G$144*Geometry!$B$15+Inputs!$H$144*Geometry!$B$14,IF(Geometry!$C$64="global",Inputs!$F$144,0))</f>
        <v/>
      </c>
      <c r="F64" s="3">
        <f>IF(AND(Geometry!$C$64="hanging",Inputs!$I$144&lt;&gt;""),IFERROR(MATCH(Inputs!$I$144&amp;"",Geometry!$B$58:$B$137,0),0),0)</f>
        <v/>
      </c>
      <c r="G64" s="3">
        <f>IF(Geometry!$C$64="hanging",IF(Inputs!$J$144="",1,Inputs!$J$144),0)</f>
        <v/>
      </c>
      <c r="H64" s="3">
        <f>IF(Geometry!$C$64="hanging",IF(Geometry!$F$64&gt;0,INDEX(Geometry!$D$58:$D$137,Geometry!$F$64),0),Geometry!$D$64)</f>
        <v/>
      </c>
      <c r="I64" s="3">
        <f>IF(Geometry!$C$64="hanging",IF(Geometry!$F$64&gt;0,INDEX(Geometry!$E$58:$E$137,Geometry!$F$64)-Geometry!$G$64,0),Geometry!$E$64)</f>
        <v/>
      </c>
      <c r="J64" s="3">
        <f>IF(AND(Geometry!$B$26=1,Geometry!$A$64=1,Geometry!$B$64=Geometry!$B$20),1,0)</f>
        <v/>
      </c>
      <c r="K64" s="3">
        <f>Geometry!$H$64</f>
        <v/>
      </c>
      <c r="L64" s="3">
        <f>IF(Geometry!$J$64=1,Geometry!$B$25-Geometry!$B$19,Geometry!$I$64)</f>
        <v/>
      </c>
    </row>
    <row r="65">
      <c r="A65" s="3">
        <f>Inputs!$A$145</f>
        <v/>
      </c>
      <c r="B65" s="3">
        <f>IF(Geometry!$A$65=1,Inputs!$B$145&amp;"","")</f>
        <v/>
      </c>
      <c r="C65" s="3">
        <f>IF(Geometry!$A$65=1,Inputs!$D$145&amp;"","")</f>
        <v/>
      </c>
      <c r="D65" s="3">
        <f>IF(Geometry!$C$65="boom_local",Geometry!$B$17+Inputs!$G$145*Geometry!$B$14-Inputs!$H$145*Geometry!$B$15,IF(Geometry!$C$65="global",Inputs!$E$145,0))</f>
        <v/>
      </c>
      <c r="E65" s="3">
        <f>IF(Geometry!$C$65="boom_local",Geometry!$B$18+Inputs!$G$145*Geometry!$B$15+Inputs!$H$145*Geometry!$B$14,IF(Geometry!$C$65="global",Inputs!$F$145,0))</f>
        <v/>
      </c>
      <c r="F65" s="3">
        <f>IF(AND(Geometry!$C$65="hanging",Inputs!$I$145&lt;&gt;""),IFERROR(MATCH(Inputs!$I$145&amp;"",Geometry!$B$58:$B$137,0),0),0)</f>
        <v/>
      </c>
      <c r="G65" s="3">
        <f>IF(Geometry!$C$65="hanging",IF(Inputs!$J$145="",1,Inputs!$J$145),0)</f>
        <v/>
      </c>
      <c r="H65" s="3">
        <f>IF(Geometry!$C$65="hanging",IF(Geometry!$F$65&gt;0,INDEX(Geometry!$D$58:$D$137,Geometry!$F$65),0),Geometry!$D$65)</f>
        <v/>
      </c>
      <c r="I65" s="3">
        <f>IF(Geometry!$C$65="hanging",IF(Geometry!$F$65&gt;0,INDEX(Geometry!$E$58:$E$137,Geometry!$F$65)-Geometry!$G$65,0),Geometry!$E$65)</f>
        <v/>
      </c>
      <c r="J65" s="3">
        <f>IF(AND(Geometry!$B$26=1,Geometry!$A$65=1,Geometry!$B$65=Geometry!$B$20),1,0)</f>
        <v/>
      </c>
      <c r="K65" s="3">
        <f>Geometry!$H$65</f>
        <v/>
      </c>
      <c r="L65" s="3">
        <f>IF(Geometry!$J$65=1,Geometry!$B$25-Geometry!$B$19,Geometry!$I$65)</f>
        <v/>
      </c>
    </row>
    <row r="66">
      <c r="A66" s="3">
        <f>Inputs!$A$146</f>
        <v/>
      </c>
      <c r="B66" s="3">
        <f>IF(Geometry!$A$66=1,Inputs!$B$146&amp;"","")</f>
        <v/>
      </c>
      <c r="C66" s="3">
        <f>IF(Geometry!$A$66=1,Inputs!$D$146&amp;"","")</f>
        <v/>
      </c>
      <c r="D66" s="3">
        <f>IF(Geometry!$C$66="boom_local",Geometry!$B$17+Inputs!$G$146*Geometry!$B$14-Inputs!$H$146*Geometry!$B$15,IF(Geometry!$C$66="global",Inputs!$E$146,0))</f>
        <v/>
      </c>
      <c r="E66" s="3">
        <f>IF(Geometry!$C$66="boom_local",Geometry!$B$18+Inputs!$G$146*Geometry!$B$15+Inputs!$H$146*Geometry!$B$14,IF(Geometry!$C$66="global",Inputs!$F$146,0))</f>
        <v/>
      </c>
      <c r="F66" s="3">
        <f>IF(AND(Geometry!$C$66="hanging",Inputs!$I$146&lt;&gt;""),IFERROR(MATCH(Inputs!$I$146&amp;"",Geometry!$B$58:$B$137,0),0),0)</f>
        <v/>
      </c>
      <c r="G66" s="3">
        <f>IF(Geometry!$C$66="hanging",IF(Inputs!$J$146="",1,Inputs!$J$146),0)</f>
        <v/>
      </c>
      <c r="H66" s="3">
        <f>IF(Geometry!$C$66="hanging",IF(Geometry!$F$66&gt;0,INDEX(Geometry!$D$58:$D$137,Geometry!$F$66),0),Geometry!$D$66)</f>
        <v/>
      </c>
      <c r="I66" s="3">
        <f>IF(Geometry!$C$66="hanging",IF(Geometry!$F$66&gt;0,INDEX(Geometry!$E$58:$E$137,Geometry!$F$66)-Geometry!$G$66,0),Geometry!$E$66)</f>
        <v/>
      </c>
      <c r="J66" s="3">
        <f>IF(AND(Geometry!$B$26=1,Geometry!$A$66=1,Geometry!$B$66=Geometry!$B$20),1,0)</f>
        <v/>
      </c>
      <c r="K66" s="3">
        <f>Geometry!$H$66</f>
        <v/>
      </c>
      <c r="L66" s="3">
        <f>IF(Geometry!$J$66=1,Geometry!$B$25-Geometry!$B$19,Geometry!$I$66)</f>
        <v/>
      </c>
    </row>
    <row r="67">
      <c r="A67" s="3">
        <f>Inputs!$A$147</f>
        <v/>
      </c>
      <c r="B67" s="3">
        <f>IF(Geometry!$A$67=1,Inputs!$B$147&amp;"","")</f>
        <v/>
      </c>
      <c r="C67" s="3">
        <f>IF(Geometry!$A$67=1,Inputs!$D$147&amp;"","")</f>
        <v/>
      </c>
      <c r="D67" s="3">
        <f>IF(Geometry!$C$67="boom_local",Geometry!$B$17+Inputs!$G$147*Geometry!$B$14-Inputs!$H$147*Geometry!$B$15,IF(Geometry!$C$67="global",Inputs!$E$147,0))</f>
        <v/>
      </c>
      <c r="E67" s="3">
        <f>IF(Geometry!$C$67="boom_local",Geometry!$B$18+Inputs!$G$147*Geometry!$B$15+Inputs!$H$147*Geometry!$B$14,IF(Geometry!$C$67="global",Inputs!$F$147,0))</f>
        <v/>
      </c>
      <c r="F67" s="3">
        <f>IF(AND(Geometry!$C$67="hanging",Inputs!$I$147&lt;&gt;""),IFERROR(MATCH(Inputs!$I$147&amp;"",Geometry!$B$58:$B$137,0),0),0)</f>
        <v/>
      </c>
      <c r="G67" s="3">
        <f>IF(Geometry!$C$67="hanging",IF(Inputs!$J$147="",1,Inputs!$J$147),0)</f>
        <v/>
      </c>
      <c r="H67" s="3">
        <f>IF(Geometry!$C$67="hanging",IF(Geometry!$F$67&gt;0,INDEX(Geometry!$D$58:$D$137,Geometry!$F$67),0),Geometry!$D$67)</f>
        <v/>
      </c>
      <c r="I67" s="3">
        <f>IF(Geometry!$C$67="hanging",IF(Geometry!$F$67&gt;0,INDEX(Geometry!$E$58:$E$137,Geometry!$F$67)-Geometry!$G$67,0),Geometry!$E$67)</f>
        <v/>
      </c>
      <c r="J67" s="3">
        <f>IF(AND(Geometry!$B$26=1,Geometry!$A$67=1,Geometry!$B$67=Geometry!$B$20),1,0)</f>
        <v/>
      </c>
      <c r="K67" s="3">
        <f>Geometry!$H$67</f>
        <v/>
      </c>
      <c r="L67" s="3">
        <f>IF(Geometry!$J$67=1,Geometry!$B$25-Geometry!$B$19,Geometry!$I$67)</f>
        <v/>
      </c>
    </row>
    <row r="68">
      <c r="A68" s="3">
        <f>Inputs!$A$148</f>
        <v/>
      </c>
      <c r="B68" s="3">
        <f>IF(Geometry!$A$68=1,Inputs!$B$148&amp;"","")</f>
        <v/>
      </c>
      <c r="C68" s="3">
        <f>IF(Geometry!$A$68=1,Inputs!$D$148&amp;"","")</f>
        <v/>
      </c>
      <c r="D68" s="3">
        <f>IF(Geometry!$C$68="boom_local",Geometry!$B$17+Inputs!$G$148*Geometry!$B$14-Inputs!$H$148*Geometry!$B$15,IF(Geometry!$C$68="global",Inputs!$E$148,0))</f>
        <v/>
      </c>
      <c r="E68" s="3">
        <f>IF(Geometry!$C$68="boom_local",Geometry!$B$18+Inputs!$G$148*Geometry!$B$15+Inputs!$H$148*Geometry!$B$14,IF(Geometry!$C$68="global",Inputs!$F$148,0))</f>
        <v/>
      </c>
      <c r="F68" s="3">
        <f>IF(AND(Geometry!$C$68="hanging",Inputs!$I$148&lt;&gt;""),IFERROR(MATCH(Inputs!$I$148&amp;"",Geometry!$B$58:$B$137,0),0),0)</f>
        <v/>
      </c>
      <c r="G68" s="3">
        <f>IF(Geometry!$C$68="hanging",IF(Inputs!$J$148="",1,Inputs!$J$148),0)</f>
        <v/>
      </c>
      <c r="H68" s="3">
        <f>IF(Geometry!$C$68="hanging",IF(Geometry!$F$68&gt;0,INDEX(Geometry!$D$58:$D$137,Geometry!$F$68),0),Geometry!$D$68)</f>
        <v/>
      </c>
      <c r="I68" s="3">
        <f>IF(Geometry!$C$68="hanging",IF(Geometry!$F$68&gt;0,INDEX(Geometry!$E$58:$E$137,Geometry!$F$68)-Geometry!$G$68,0),Geometry!$E$68)</f>
        <v/>
      </c>
      <c r="J68" s="3">
        <f>IF(AND(Geometry!$B$26=1,Geometry!$A$68=1,Geometry!$B$68=Geometry!$B$20),1,0)</f>
        <v/>
      </c>
      <c r="K68" s="3">
        <f>Geometry!$H$68</f>
        <v/>
      </c>
      <c r="L68" s="3">
        <f>IF(Geometry!$J$68=1,Geometry!$B$25-Geometry!$B$19,Geometry!$I$68)</f>
        <v/>
      </c>
    </row>
    <row r="69">
      <c r="A69" s="3">
        <f>Inputs!$A$149</f>
        <v/>
      </c>
      <c r="B69" s="3">
        <f>IF(Geometry!$A$69=1,Inputs!$B$149&amp;"","")</f>
        <v/>
      </c>
      <c r="C69" s="3">
        <f>IF(Geometry!$A$69=1,Inputs!$D$149&amp;"","")</f>
        <v/>
      </c>
      <c r="D69" s="3">
        <f>IF(Geometry!$C$69="boom_local",Geometry!$B$17+Inputs!$G$149*Geometry!$B$14-Inputs!$H$149*Geometry!$B$15,IF(Geometry!$C$69="global",Inputs!$E$149,0))</f>
        <v/>
      </c>
      <c r="E69" s="3">
        <f>IF(Geometry!$C$69="boom_local",Geometry!$B$18+Inputs!$G$149*Geometry!$B$15+Inputs!$H$149*Geometry!$B$14,IF(Geometry!$C$69="global",Inputs!$F$149,0))</f>
        <v/>
      </c>
      <c r="F69" s="3">
        <f>IF(AND(Geometry!$C$69="hanging",Inputs!$I$149&lt;&gt;""),IFERROR(MATCH(Inputs!$I$149&amp;"",Geometry!$B$58:$B$137,0),0),0)</f>
        <v/>
      </c>
      <c r="G69" s="3">
        <f>IF(Geometry!$C$69="hanging",IF(Inputs!$J$149="",1,Inputs!$J$149),0)</f>
        <v/>
      </c>
      <c r="H69" s="3">
        <f>IF(Geometry!$C$69="hanging",IF(Geometry!$F$69&gt;0,INDEX(Geometry!$D$58:$D$137,Geometry!$F$69),0),Geometry!$D$69)</f>
        <v/>
      </c>
      <c r="I69" s="3">
        <f>IF(Geometry!$C$69="hanging",IF(Geometry!$F$69&gt;0,INDEX(Geometry!$E$58:$E$137,Geometry!$F$69)-Geometry!$G$69,0),Geometry!$E$69)</f>
        <v/>
      </c>
      <c r="J69" s="3">
        <f>IF(AND(Geometry!$B$26=1,Geometry!$A$69=1,Geometry!$B$69=Geometry!$B$20),1,0)</f>
        <v/>
      </c>
      <c r="K69" s="3">
        <f>Geometry!$H$69</f>
        <v/>
      </c>
      <c r="L69" s="3">
        <f>IF(Geometry!$J$69=1,Geometry!$B$25-Geometry!$B$19,Geometry!$I$69)</f>
        <v/>
      </c>
    </row>
    <row r="70">
      <c r="A70" s="3">
        <f>Inputs!$A$150</f>
        <v/>
      </c>
      <c r="B70" s="3">
        <f>IF(Geometry!$A$70=1,Inputs!$B$150&amp;"","")</f>
        <v/>
      </c>
      <c r="C70" s="3">
        <f>IF(Geometry!$A$70=1,Inputs!$D$150&amp;"","")</f>
        <v/>
      </c>
      <c r="D70" s="3">
        <f>IF(Geometry!$C$70="boom_local",Geometry!$B$17+Inputs!$G$150*Geometry!$B$14-Inputs!$H$150*Geometry!$B$15,IF(Geometry!$C$70="global",Inputs!$E$150,0))</f>
        <v/>
      </c>
      <c r="E70" s="3">
        <f>IF(Geometry!$C$70="boom_local",Geometry!$B$18+Inputs!$G$150*Geometry!$B$15+Inputs!$H$150*Geometry!$B$14,IF(Geometry!$C$70="global",Inputs!$F$150,0))</f>
        <v/>
      </c>
      <c r="F70" s="3">
        <f>IF(AND(Geometry!$C$70="hanging",Inputs!$I$150&lt;&gt;""),IFERROR(MATCH(Inputs!$I$150&amp;"",Geometry!$B$58:$B$137,0),0),0)</f>
        <v/>
      </c>
      <c r="G70" s="3">
        <f>IF(Geometry!$C$70="hanging",IF(Inputs!$J$150="",1,Inputs!$J$150),0)</f>
        <v/>
      </c>
      <c r="H70" s="3">
        <f>IF(Geometry!$C$70="hanging",IF(Geometry!$F$70&gt;0,INDEX(Geometry!$D$58:$D$137,Geometry!$F$70),0),Geometry!$D$70)</f>
        <v/>
      </c>
      <c r="I70" s="3">
        <f>IF(Geometry!$C$70="hanging",IF(Geometry!$F$70&gt;0,INDEX(Geometry!$E$58:$E$137,Geometry!$F$70)-Geometry!$G$70,0),Geometry!$E$70)</f>
        <v/>
      </c>
      <c r="J70" s="3">
        <f>IF(AND(Geometry!$B$26=1,Geometry!$A$70=1,Geometry!$B$70=Geometry!$B$20),1,0)</f>
        <v/>
      </c>
      <c r="K70" s="3">
        <f>Geometry!$H$70</f>
        <v/>
      </c>
      <c r="L70" s="3">
        <f>IF(Geometry!$J$70=1,Geometry!$B$25-Geometry!$B$19,Geometry!$I$70)</f>
        <v/>
      </c>
    </row>
    <row r="71">
      <c r="A71" s="3">
        <f>Inputs!$A$151</f>
        <v/>
      </c>
      <c r="B71" s="3">
        <f>IF(Geometry!$A$71=1,Inputs!$B$151&amp;"","")</f>
        <v/>
      </c>
      <c r="C71" s="3">
        <f>IF(Geometry!$A$71=1,Inputs!$D$151&amp;"","")</f>
        <v/>
      </c>
      <c r="D71" s="3">
        <f>IF(Geometry!$C$71="boom_local",Geometry!$B$17+Inputs!$G$151*Geometry!$B$14-Inputs!$H$151*Geometry!$B$15,IF(Geometry!$C$71="global",Inputs!$E$151,0))</f>
        <v/>
      </c>
      <c r="E71" s="3">
        <f>IF(Geometry!$C$71="boom_local",Geometry!$B$18+Inputs!$G$151*Geometry!$B$15+Inputs!$H$151*Geometry!$B$14,IF(Geometry!$C$71="global",Inputs!$F$151,0))</f>
        <v/>
      </c>
      <c r="F71" s="3">
        <f>IF(AND(Geometry!$C$71="hanging",Inputs!$I$151&lt;&gt;""),IFERROR(MATCH(Inputs!$I$151&amp;"",Geometry!$B$58:$B$137,0),0),0)</f>
        <v/>
      </c>
      <c r="G71" s="3">
        <f>IF(Geometry!$C$71="hanging",IF(Inputs!$J$151="",1,Inputs!$J$151),0)</f>
        <v/>
      </c>
      <c r="H71" s="3">
        <f>IF(Geometry!$C$71="hanging",IF(Geometry!$F$71&gt;0,INDEX(Geometry!$D$58:$D$137,Geometry!$F$71),0),Geometry!$D$71)</f>
        <v/>
      </c>
      <c r="I71" s="3">
        <f>IF(Geometry!$C$71="hanging",IF(Geometry!$F$71&gt;0,INDEX(Geometry!$E$58:$E$137,Geometry!$F$71)-Geometry!$G$71,0),Geometry!$E$71)</f>
        <v/>
      </c>
      <c r="J71" s="3">
        <f>IF(AND(Geometry!$B$26=1,Geometry!$A$71=1,Geometry!$B$71=Geometry!$B$20),1,0)</f>
        <v/>
      </c>
      <c r="K71" s="3">
        <f>Geometry!$H$71</f>
        <v/>
      </c>
      <c r="L71" s="3">
        <f>IF(Geometry!$J$71=1,Geometry!$B$25-Geometry!$B$19,Geometry!$I$71)</f>
        <v/>
      </c>
    </row>
    <row r="72">
      <c r="A72" s="3">
        <f>Inputs!$A$152</f>
        <v/>
      </c>
      <c r="B72" s="3">
        <f>IF(Geometry!$A$72=1,Inputs!$B$152&amp;"","")</f>
        <v/>
      </c>
      <c r="C72" s="3">
        <f>IF(Geometry!$A$72=1,Inputs!$D$152&amp;"","")</f>
        <v/>
      </c>
      <c r="D72" s="3">
        <f>IF(Geometry!$C$72="boom_local",Geometry!$B$17+Inputs!$G$152*Geometry!$B$14-Inputs!$H$152*Geometry!$B$15,IF(Geometry!$C$72="global",Inputs!$E$152,0))</f>
        <v/>
      </c>
      <c r="E72" s="3">
        <f>IF(Geometry!$C$72="boom_local",Geometry!$B$18+Inputs!$G$152*Geometry!$B$15+Inputs!$H$152*Geometry!$B$14,IF(Geometry!$C$72="global",Inputs!$F$152,0))</f>
        <v/>
      </c>
      <c r="F72" s="3">
        <f>IF(AND(Geometry!$C$72="hanging",Inputs!$I$152&lt;&gt;""),IFERROR(MATCH(Inputs!$I$152&amp;"",Geometry!$B$58:$B$137,0),0),0)</f>
        <v/>
      </c>
      <c r="G72" s="3">
        <f>IF(Geometry!$C$72="hanging",IF(Inputs!$J$152="",1,Inputs!$J$152),0)</f>
        <v/>
      </c>
      <c r="H72" s="3">
        <f>IF(Geometry!$C$72="hanging",IF(Geometry!$F$72&gt;0,INDEX(Geometry!$D$58:$D$137,Geometry!$F$72),0),Geometry!$D$72)</f>
        <v/>
      </c>
      <c r="I72" s="3">
        <f>IF(Geometry!$C$72="hanging",IF(Geometry!$F$72&gt;0,INDEX(Geometry!$E$58:$E$137,Geometry!$F$72)-Geometry!$G$72,0),Geometry!$E$72)</f>
        <v/>
      </c>
      <c r="J72" s="3">
        <f>IF(AND(Geometry!$B$26=1,Geometry!$A$72=1,Geometry!$B$72=Geometry!$B$20),1,0)</f>
        <v/>
      </c>
      <c r="K72" s="3">
        <f>Geometry!$H$72</f>
        <v/>
      </c>
      <c r="L72" s="3">
        <f>IF(Geometry!$J$72=1,Geometry!$B$25-Geometry!$B$19,Geometry!$I$72)</f>
        <v/>
      </c>
    </row>
    <row r="73">
      <c r="A73" s="3">
        <f>Inputs!$A$153</f>
        <v/>
      </c>
      <c r="B73" s="3">
        <f>IF(Geometry!$A$73=1,Inputs!$B$153&amp;"","")</f>
        <v/>
      </c>
      <c r="C73" s="3">
        <f>IF(Geometry!$A$73=1,Inputs!$D$153&amp;"","")</f>
        <v/>
      </c>
      <c r="D73" s="3">
        <f>IF(Geometry!$C$73="boom_local",Geometry!$B$17+Inputs!$G$153*Geometry!$B$14-Inputs!$H$153*Geometry!$B$15,IF(Geometry!$C$73="global",Inputs!$E$153,0))</f>
        <v/>
      </c>
      <c r="E73" s="3">
        <f>IF(Geometry!$C$73="boom_local",Geometry!$B$18+Inputs!$G$153*Geometry!$B$15+Inputs!$H$153*Geometry!$B$14,IF(Geometry!$C$73="global",Inputs!$F$153,0))</f>
        <v/>
      </c>
      <c r="F73" s="3">
        <f>IF(AND(Geometry!$C$73="hanging",Inputs!$I$153&lt;&gt;""),IFERROR(MATCH(Inputs!$I$153&amp;"",Geometry!$B$58:$B$137,0),0),0)</f>
        <v/>
      </c>
      <c r="G73" s="3">
        <f>IF(Geometry!$C$73="hanging",IF(Inputs!$J$153="",1,Inputs!$J$153),0)</f>
        <v/>
      </c>
      <c r="H73" s="3">
        <f>IF(Geometry!$C$73="hanging",IF(Geometry!$F$73&gt;0,INDEX(Geometry!$D$58:$D$137,Geometry!$F$73),0),Geometry!$D$73)</f>
        <v/>
      </c>
      <c r="I73" s="3">
        <f>IF(Geometry!$C$73="hanging",IF(Geometry!$F$73&gt;0,INDEX(Geometry!$E$58:$E$137,Geometry!$F$73)-Geometry!$G$73,0),Geometry!$E$73)</f>
        <v/>
      </c>
      <c r="J73" s="3">
        <f>IF(AND(Geometry!$B$26=1,Geometry!$A$73=1,Geometry!$B$73=Geometry!$B$20),1,0)</f>
        <v/>
      </c>
      <c r="K73" s="3">
        <f>Geometry!$H$73</f>
        <v/>
      </c>
      <c r="L73" s="3">
        <f>IF(Geometry!$J$73=1,Geometry!$B$25-Geometry!$B$19,Geometry!$I$73)</f>
        <v/>
      </c>
    </row>
    <row r="74">
      <c r="A74" s="3">
        <f>Inputs!$A$154</f>
        <v/>
      </c>
      <c r="B74" s="3">
        <f>IF(Geometry!$A$74=1,Inputs!$B$154&amp;"","")</f>
        <v/>
      </c>
      <c r="C74" s="3">
        <f>IF(Geometry!$A$74=1,Inputs!$D$154&amp;"","")</f>
        <v/>
      </c>
      <c r="D74" s="3">
        <f>IF(Geometry!$C$74="boom_local",Geometry!$B$17+Inputs!$G$154*Geometry!$B$14-Inputs!$H$154*Geometry!$B$15,IF(Geometry!$C$74="global",Inputs!$E$154,0))</f>
        <v/>
      </c>
      <c r="E74" s="3">
        <f>IF(Geometry!$C$74="boom_local",Geometry!$B$18+Inputs!$G$154*Geometry!$B$15+Inputs!$H$154*Geometry!$B$14,IF(Geometry!$C$74="global",Inputs!$F$154,0))</f>
        <v/>
      </c>
      <c r="F74" s="3">
        <f>IF(AND(Geometry!$C$74="hanging",Inputs!$I$154&lt;&gt;""),IFERROR(MATCH(Inputs!$I$154&amp;"",Geometry!$B$58:$B$137,0),0),0)</f>
        <v/>
      </c>
      <c r="G74" s="3">
        <f>IF(Geometry!$C$74="hanging",IF(Inputs!$J$154="",1,Inputs!$J$154),0)</f>
        <v/>
      </c>
      <c r="H74" s="3">
        <f>IF(Geometry!$C$74="hanging",IF(Geometry!$F$74&gt;0,INDEX(Geometry!$D$58:$D$137,Geometry!$F$74),0),Geometry!$D$74)</f>
        <v/>
      </c>
      <c r="I74" s="3">
        <f>IF(Geometry!$C$74="hanging",IF(Geometry!$F$74&gt;0,INDEX(Geometry!$E$58:$E$137,Geometry!$F$74)-Geometry!$G$74,0),Geometry!$E$74)</f>
        <v/>
      </c>
      <c r="J74" s="3">
        <f>IF(AND(Geometry!$B$26=1,Geometry!$A$74=1,Geometry!$B$74=Geometry!$B$20),1,0)</f>
        <v/>
      </c>
      <c r="K74" s="3">
        <f>Geometry!$H$74</f>
        <v/>
      </c>
      <c r="L74" s="3">
        <f>IF(Geometry!$J$74=1,Geometry!$B$25-Geometry!$B$19,Geometry!$I$74)</f>
        <v/>
      </c>
    </row>
    <row r="75">
      <c r="A75" s="3">
        <f>Inputs!$A$155</f>
        <v/>
      </c>
      <c r="B75" s="3">
        <f>IF(Geometry!$A$75=1,Inputs!$B$155&amp;"","")</f>
        <v/>
      </c>
      <c r="C75" s="3">
        <f>IF(Geometry!$A$75=1,Inputs!$D$155&amp;"","")</f>
        <v/>
      </c>
      <c r="D75" s="3">
        <f>IF(Geometry!$C$75="boom_local",Geometry!$B$17+Inputs!$G$155*Geometry!$B$14-Inputs!$H$155*Geometry!$B$15,IF(Geometry!$C$75="global",Inputs!$E$155,0))</f>
        <v/>
      </c>
      <c r="E75" s="3">
        <f>IF(Geometry!$C$75="boom_local",Geometry!$B$18+Inputs!$G$155*Geometry!$B$15+Inputs!$H$155*Geometry!$B$14,IF(Geometry!$C$75="global",Inputs!$F$155,0))</f>
        <v/>
      </c>
      <c r="F75" s="3">
        <f>IF(AND(Geometry!$C$75="hanging",Inputs!$I$155&lt;&gt;""),IFERROR(MATCH(Inputs!$I$155&amp;"",Geometry!$B$58:$B$137,0),0),0)</f>
        <v/>
      </c>
      <c r="G75" s="3">
        <f>IF(Geometry!$C$75="hanging",IF(Inputs!$J$155="",1,Inputs!$J$155),0)</f>
        <v/>
      </c>
      <c r="H75" s="3">
        <f>IF(Geometry!$C$75="hanging",IF(Geometry!$F$75&gt;0,INDEX(Geometry!$D$58:$D$137,Geometry!$F$75),0),Geometry!$D$75)</f>
        <v/>
      </c>
      <c r="I75" s="3">
        <f>IF(Geometry!$C$75="hanging",IF(Geometry!$F$75&gt;0,INDEX(Geometry!$E$58:$E$137,Geometry!$F$75)-Geometry!$G$75,0),Geometry!$E$75)</f>
        <v/>
      </c>
      <c r="J75" s="3">
        <f>IF(AND(Geometry!$B$26=1,Geometry!$A$75=1,Geometry!$B$75=Geometry!$B$20),1,0)</f>
        <v/>
      </c>
      <c r="K75" s="3">
        <f>Geometry!$H$75</f>
        <v/>
      </c>
      <c r="L75" s="3">
        <f>IF(Geometry!$J$75=1,Geometry!$B$25-Geometry!$B$19,Geometry!$I$75)</f>
        <v/>
      </c>
    </row>
    <row r="76">
      <c r="A76" s="3">
        <f>Inputs!$A$156</f>
        <v/>
      </c>
      <c r="B76" s="3">
        <f>IF(Geometry!$A$76=1,Inputs!$B$156&amp;"","")</f>
        <v/>
      </c>
      <c r="C76" s="3">
        <f>IF(Geometry!$A$76=1,Inputs!$D$156&amp;"","")</f>
        <v/>
      </c>
      <c r="D76" s="3">
        <f>IF(Geometry!$C$76="boom_local",Geometry!$B$17+Inputs!$G$156*Geometry!$B$14-Inputs!$H$156*Geometry!$B$15,IF(Geometry!$C$76="global",Inputs!$E$156,0))</f>
        <v/>
      </c>
      <c r="E76" s="3">
        <f>IF(Geometry!$C$76="boom_local",Geometry!$B$18+Inputs!$G$156*Geometry!$B$15+Inputs!$H$156*Geometry!$B$14,IF(Geometry!$C$76="global",Inputs!$F$156,0))</f>
        <v/>
      </c>
      <c r="F76" s="3">
        <f>IF(AND(Geometry!$C$76="hanging",Inputs!$I$156&lt;&gt;""),IFERROR(MATCH(Inputs!$I$156&amp;"",Geometry!$B$58:$B$137,0),0),0)</f>
        <v/>
      </c>
      <c r="G76" s="3">
        <f>IF(Geometry!$C$76="hanging",IF(Inputs!$J$156="",1,Inputs!$J$156),0)</f>
        <v/>
      </c>
      <c r="H76" s="3">
        <f>IF(Geometry!$C$76="hanging",IF(Geometry!$F$76&gt;0,INDEX(Geometry!$D$58:$D$137,Geometry!$F$76),0),Geometry!$D$76)</f>
        <v/>
      </c>
      <c r="I76" s="3">
        <f>IF(Geometry!$C$76="hanging",IF(Geometry!$F$76&gt;0,INDEX(Geometry!$E$58:$E$137,Geometry!$F$76)-Geometry!$G$76,0),Geometry!$E$76)</f>
        <v/>
      </c>
      <c r="J76" s="3">
        <f>IF(AND(Geometry!$B$26=1,Geometry!$A$76=1,Geometry!$B$76=Geometry!$B$20),1,0)</f>
        <v/>
      </c>
      <c r="K76" s="3">
        <f>Geometry!$H$76</f>
        <v/>
      </c>
      <c r="L76" s="3">
        <f>IF(Geometry!$J$76=1,Geometry!$B$25-Geometry!$B$19,Geometry!$I$76)</f>
        <v/>
      </c>
    </row>
    <row r="77">
      <c r="A77" s="3">
        <f>Inputs!$A$157</f>
        <v/>
      </c>
      <c r="B77" s="3">
        <f>IF(Geometry!$A$77=1,Inputs!$B$157&amp;"","")</f>
        <v/>
      </c>
      <c r="C77" s="3">
        <f>IF(Geometry!$A$77=1,Inputs!$D$157&amp;"","")</f>
        <v/>
      </c>
      <c r="D77" s="3">
        <f>IF(Geometry!$C$77="boom_local",Geometry!$B$17+Inputs!$G$157*Geometry!$B$14-Inputs!$H$157*Geometry!$B$15,IF(Geometry!$C$77="global",Inputs!$E$157,0))</f>
        <v/>
      </c>
      <c r="E77" s="3">
        <f>IF(Geometry!$C$77="boom_local",Geometry!$B$18+Inputs!$G$157*Geometry!$B$15+Inputs!$H$157*Geometry!$B$14,IF(Geometry!$C$77="global",Inputs!$F$157,0))</f>
        <v/>
      </c>
      <c r="F77" s="3">
        <f>IF(AND(Geometry!$C$77="hanging",Inputs!$I$157&lt;&gt;""),IFERROR(MATCH(Inputs!$I$157&amp;"",Geometry!$B$58:$B$137,0),0),0)</f>
        <v/>
      </c>
      <c r="G77" s="3">
        <f>IF(Geometry!$C$77="hanging",IF(Inputs!$J$157="",1,Inputs!$J$157),0)</f>
        <v/>
      </c>
      <c r="H77" s="3">
        <f>IF(Geometry!$C$77="hanging",IF(Geometry!$F$77&gt;0,INDEX(Geometry!$D$58:$D$137,Geometry!$F$77),0),Geometry!$D$77)</f>
        <v/>
      </c>
      <c r="I77" s="3">
        <f>IF(Geometry!$C$77="hanging",IF(Geometry!$F$77&gt;0,INDEX(Geometry!$E$58:$E$137,Geometry!$F$77)-Geometry!$G$77,0),Geometry!$E$77)</f>
        <v/>
      </c>
      <c r="J77" s="3">
        <f>IF(AND(Geometry!$B$26=1,Geometry!$A$77=1,Geometry!$B$77=Geometry!$B$20),1,0)</f>
        <v/>
      </c>
      <c r="K77" s="3">
        <f>Geometry!$H$77</f>
        <v/>
      </c>
      <c r="L77" s="3">
        <f>IF(Geometry!$J$77=1,Geometry!$B$25-Geometry!$B$19,Geometry!$I$77)</f>
        <v/>
      </c>
    </row>
    <row r="78">
      <c r="A78" s="3">
        <f>Inputs!$A$158</f>
        <v/>
      </c>
      <c r="B78" s="3">
        <f>IF(Geometry!$A$78=1,Inputs!$B$158&amp;"","")</f>
        <v/>
      </c>
      <c r="C78" s="3">
        <f>IF(Geometry!$A$78=1,Inputs!$D$158&amp;"","")</f>
        <v/>
      </c>
      <c r="D78" s="3">
        <f>IF(Geometry!$C$78="boom_local",Geometry!$B$17+Inputs!$G$158*Geometry!$B$14-Inputs!$H$158*Geometry!$B$15,IF(Geometry!$C$78="global",Inputs!$E$158,0))</f>
        <v/>
      </c>
      <c r="E78" s="3">
        <f>IF(Geometry!$C$78="boom_local",Geometry!$B$18+Inputs!$G$158*Geometry!$B$15+Inputs!$H$158*Geometry!$B$14,IF(Geometry!$C$78="global",Inputs!$F$158,0))</f>
        <v/>
      </c>
      <c r="F78" s="3">
        <f>IF(AND(Geometry!$C$78="hanging",Inputs!$I$158&lt;&gt;""),IFERROR(MATCH(Inputs!$I$158&amp;"",Geometry!$B$58:$B$137,0),0),0)</f>
        <v/>
      </c>
      <c r="G78" s="3">
        <f>IF(Geometry!$C$78="hanging",IF(Inputs!$J$158="",1,Inputs!$J$158),0)</f>
        <v/>
      </c>
      <c r="H78" s="3">
        <f>IF(Geometry!$C$78="hanging",IF(Geometry!$F$78&gt;0,INDEX(Geometry!$D$58:$D$137,Geometry!$F$78),0),Geometry!$D$78)</f>
        <v/>
      </c>
      <c r="I78" s="3">
        <f>IF(Geometry!$C$78="hanging",IF(Geometry!$F$78&gt;0,INDEX(Geometry!$E$58:$E$137,Geometry!$F$78)-Geometry!$G$78,0),Geometry!$E$78)</f>
        <v/>
      </c>
      <c r="J78" s="3">
        <f>IF(AND(Geometry!$B$26=1,Geometry!$A$78=1,Geometry!$B$78=Geometry!$B$20),1,0)</f>
        <v/>
      </c>
      <c r="K78" s="3">
        <f>Geometry!$H$78</f>
        <v/>
      </c>
      <c r="L78" s="3">
        <f>IF(Geometry!$J$78=1,Geometry!$B$25-Geometry!$B$19,Geometry!$I$78)</f>
        <v/>
      </c>
    </row>
    <row r="79">
      <c r="A79" s="3">
        <f>Inputs!$A$159</f>
        <v/>
      </c>
      <c r="B79" s="3">
        <f>IF(Geometry!$A$79=1,Inputs!$B$159&amp;"","")</f>
        <v/>
      </c>
      <c r="C79" s="3">
        <f>IF(Geometry!$A$79=1,Inputs!$D$159&amp;"","")</f>
        <v/>
      </c>
      <c r="D79" s="3">
        <f>IF(Geometry!$C$79="boom_local",Geometry!$B$17+Inputs!$G$159*Geometry!$B$14-Inputs!$H$159*Geometry!$B$15,IF(Geometry!$C$79="global",Inputs!$E$159,0))</f>
        <v/>
      </c>
      <c r="E79" s="3">
        <f>IF(Geometry!$C$79="boom_local",Geometry!$B$18+Inputs!$G$159*Geometry!$B$15+Inputs!$H$159*Geometry!$B$14,IF(Geometry!$C$79="global",Inputs!$F$159,0))</f>
        <v/>
      </c>
      <c r="F79" s="3">
        <f>IF(AND(Geometry!$C$79="hanging",Inputs!$I$159&lt;&gt;""),IFERROR(MATCH(Inputs!$I$159&amp;"",Geometry!$B$58:$B$137,0),0),0)</f>
        <v/>
      </c>
      <c r="G79" s="3">
        <f>IF(Geometry!$C$79="hanging",IF(Inputs!$J$159="",1,Inputs!$J$159),0)</f>
        <v/>
      </c>
      <c r="H79" s="3">
        <f>IF(Geometry!$C$79="hanging",IF(Geometry!$F$79&gt;0,INDEX(Geometry!$D$58:$D$137,Geometry!$F$79),0),Geometry!$D$79)</f>
        <v/>
      </c>
      <c r="I79" s="3">
        <f>IF(Geometry!$C$79="hanging",IF(Geometry!$F$79&gt;0,INDEX(Geometry!$E$58:$E$137,Geometry!$F$79)-Geometry!$G$79,0),Geometry!$E$79)</f>
        <v/>
      </c>
      <c r="J79" s="3">
        <f>IF(AND(Geometry!$B$26=1,Geometry!$A$79=1,Geometry!$B$79=Geometry!$B$20),1,0)</f>
        <v/>
      </c>
      <c r="K79" s="3">
        <f>Geometry!$H$79</f>
        <v/>
      </c>
      <c r="L79" s="3">
        <f>IF(Geometry!$J$79=1,Geometry!$B$25-Geometry!$B$19,Geometry!$I$79)</f>
        <v/>
      </c>
    </row>
    <row r="80">
      <c r="A80" s="3">
        <f>Inputs!$A$160</f>
        <v/>
      </c>
      <c r="B80" s="3">
        <f>IF(Geometry!$A$80=1,Inputs!$B$160&amp;"","")</f>
        <v/>
      </c>
      <c r="C80" s="3">
        <f>IF(Geometry!$A$80=1,Inputs!$D$160&amp;"","")</f>
        <v/>
      </c>
      <c r="D80" s="3">
        <f>IF(Geometry!$C$80="boom_local",Geometry!$B$17+Inputs!$G$160*Geometry!$B$14-Inputs!$H$160*Geometry!$B$15,IF(Geometry!$C$80="global",Inputs!$E$160,0))</f>
        <v/>
      </c>
      <c r="E80" s="3">
        <f>IF(Geometry!$C$80="boom_local",Geometry!$B$18+Inputs!$G$160*Geometry!$B$15+Inputs!$H$160*Geometry!$B$14,IF(Geometry!$C$80="global",Inputs!$F$160,0))</f>
        <v/>
      </c>
      <c r="F80" s="3">
        <f>IF(AND(Geometry!$C$80="hanging",Inputs!$I$160&lt;&gt;""),IFERROR(MATCH(Inputs!$I$160&amp;"",Geometry!$B$58:$B$137,0),0),0)</f>
        <v/>
      </c>
      <c r="G80" s="3">
        <f>IF(Geometry!$C$80="hanging",IF(Inputs!$J$160="",1,Inputs!$J$160),0)</f>
        <v/>
      </c>
      <c r="H80" s="3">
        <f>IF(Geometry!$C$80="hanging",IF(Geometry!$F$80&gt;0,INDEX(Geometry!$D$58:$D$137,Geometry!$F$80),0),Geometry!$D$80)</f>
        <v/>
      </c>
      <c r="I80" s="3">
        <f>IF(Geometry!$C$80="hanging",IF(Geometry!$F$80&gt;0,INDEX(Geometry!$E$58:$E$137,Geometry!$F$80)-Geometry!$G$80,0),Geometry!$E$80)</f>
        <v/>
      </c>
      <c r="J80" s="3">
        <f>IF(AND(Geometry!$B$26=1,Geometry!$A$80=1,Geometry!$B$80=Geometry!$B$20),1,0)</f>
        <v/>
      </c>
      <c r="K80" s="3">
        <f>Geometry!$H$80</f>
        <v/>
      </c>
      <c r="L80" s="3">
        <f>IF(Geometry!$J$80=1,Geometry!$B$25-Geometry!$B$19,Geometry!$I$80)</f>
        <v/>
      </c>
    </row>
    <row r="81">
      <c r="A81" s="3">
        <f>Inputs!$A$161</f>
        <v/>
      </c>
      <c r="B81" s="3">
        <f>IF(Geometry!$A$81=1,Inputs!$B$161&amp;"","")</f>
        <v/>
      </c>
      <c r="C81" s="3">
        <f>IF(Geometry!$A$81=1,Inputs!$D$161&amp;"","")</f>
        <v/>
      </c>
      <c r="D81" s="3">
        <f>IF(Geometry!$C$81="boom_local",Geometry!$B$17+Inputs!$G$161*Geometry!$B$14-Inputs!$H$161*Geometry!$B$15,IF(Geometry!$C$81="global",Inputs!$E$161,0))</f>
        <v/>
      </c>
      <c r="E81" s="3">
        <f>IF(Geometry!$C$81="boom_local",Geometry!$B$18+Inputs!$G$161*Geometry!$B$15+Inputs!$H$161*Geometry!$B$14,IF(Geometry!$C$81="global",Inputs!$F$161,0))</f>
        <v/>
      </c>
      <c r="F81" s="3">
        <f>IF(AND(Geometry!$C$81="hanging",Inputs!$I$161&lt;&gt;""),IFERROR(MATCH(Inputs!$I$161&amp;"",Geometry!$B$58:$B$137,0),0),0)</f>
        <v/>
      </c>
      <c r="G81" s="3">
        <f>IF(Geometry!$C$81="hanging",IF(Inputs!$J$161="",1,Inputs!$J$161),0)</f>
        <v/>
      </c>
      <c r="H81" s="3">
        <f>IF(Geometry!$C$81="hanging",IF(Geometry!$F$81&gt;0,INDEX(Geometry!$D$58:$D$137,Geometry!$F$81),0),Geometry!$D$81)</f>
        <v/>
      </c>
      <c r="I81" s="3">
        <f>IF(Geometry!$C$81="hanging",IF(Geometry!$F$81&gt;0,INDEX(Geometry!$E$58:$E$137,Geometry!$F$81)-Geometry!$G$81,0),Geometry!$E$81)</f>
        <v/>
      </c>
      <c r="J81" s="3">
        <f>IF(AND(Geometry!$B$26=1,Geometry!$A$81=1,Geometry!$B$81=Geometry!$B$20),1,0)</f>
        <v/>
      </c>
      <c r="K81" s="3">
        <f>Geometry!$H$81</f>
        <v/>
      </c>
      <c r="L81" s="3">
        <f>IF(Geometry!$J$81=1,Geometry!$B$25-Geometry!$B$19,Geometry!$I$81)</f>
        <v/>
      </c>
    </row>
    <row r="82">
      <c r="A82" s="3">
        <f>Inputs!$A$162</f>
        <v/>
      </c>
      <c r="B82" s="3">
        <f>IF(Geometry!$A$82=1,Inputs!$B$162&amp;"","")</f>
        <v/>
      </c>
      <c r="C82" s="3">
        <f>IF(Geometry!$A$82=1,Inputs!$D$162&amp;"","")</f>
        <v/>
      </c>
      <c r="D82" s="3">
        <f>IF(Geometry!$C$82="boom_local",Geometry!$B$17+Inputs!$G$162*Geometry!$B$14-Inputs!$H$162*Geometry!$B$15,IF(Geometry!$C$82="global",Inputs!$E$162,0))</f>
        <v/>
      </c>
      <c r="E82" s="3">
        <f>IF(Geometry!$C$82="boom_local",Geometry!$B$18+Inputs!$G$162*Geometry!$B$15+Inputs!$H$162*Geometry!$B$14,IF(Geometry!$C$82="global",Inputs!$F$162,0))</f>
        <v/>
      </c>
      <c r="F82" s="3">
        <f>IF(AND(Geometry!$C$82="hanging",Inputs!$I$162&lt;&gt;""),IFERROR(MATCH(Inputs!$I$162&amp;"",Geometry!$B$58:$B$137,0),0),0)</f>
        <v/>
      </c>
      <c r="G82" s="3">
        <f>IF(Geometry!$C$82="hanging",IF(Inputs!$J$162="",1,Inputs!$J$162),0)</f>
        <v/>
      </c>
      <c r="H82" s="3">
        <f>IF(Geometry!$C$82="hanging",IF(Geometry!$F$82&gt;0,INDEX(Geometry!$D$58:$D$137,Geometry!$F$82),0),Geometry!$D$82)</f>
        <v/>
      </c>
      <c r="I82" s="3">
        <f>IF(Geometry!$C$82="hanging",IF(Geometry!$F$82&gt;0,INDEX(Geometry!$E$58:$E$137,Geometry!$F$82)-Geometry!$G$82,0),Geometry!$E$82)</f>
        <v/>
      </c>
      <c r="J82" s="3">
        <f>IF(AND(Geometry!$B$26=1,Geometry!$A$82=1,Geometry!$B$82=Geometry!$B$20),1,0)</f>
        <v/>
      </c>
      <c r="K82" s="3">
        <f>Geometry!$H$82</f>
        <v/>
      </c>
      <c r="L82" s="3">
        <f>IF(Geometry!$J$82=1,Geometry!$B$25-Geometry!$B$19,Geometry!$I$82)</f>
        <v/>
      </c>
    </row>
    <row r="83">
      <c r="A83" s="3">
        <f>Inputs!$A$163</f>
        <v/>
      </c>
      <c r="B83" s="3">
        <f>IF(Geometry!$A$83=1,Inputs!$B$163&amp;"","")</f>
        <v/>
      </c>
      <c r="C83" s="3">
        <f>IF(Geometry!$A$83=1,Inputs!$D$163&amp;"","")</f>
        <v/>
      </c>
      <c r="D83" s="3">
        <f>IF(Geometry!$C$83="boom_local",Geometry!$B$17+Inputs!$G$163*Geometry!$B$14-Inputs!$H$163*Geometry!$B$15,IF(Geometry!$C$83="global",Inputs!$E$163,0))</f>
        <v/>
      </c>
      <c r="E83" s="3">
        <f>IF(Geometry!$C$83="boom_local",Geometry!$B$18+Inputs!$G$163*Geometry!$B$15+Inputs!$H$163*Geometry!$B$14,IF(Geometry!$C$83="global",Inputs!$F$163,0))</f>
        <v/>
      </c>
      <c r="F83" s="3">
        <f>IF(AND(Geometry!$C$83="hanging",Inputs!$I$163&lt;&gt;""),IFERROR(MATCH(Inputs!$I$163&amp;"",Geometry!$B$58:$B$137,0),0),0)</f>
        <v/>
      </c>
      <c r="G83" s="3">
        <f>IF(Geometry!$C$83="hanging",IF(Inputs!$J$163="",1,Inputs!$J$163),0)</f>
        <v/>
      </c>
      <c r="H83" s="3">
        <f>IF(Geometry!$C$83="hanging",IF(Geometry!$F$83&gt;0,INDEX(Geometry!$D$58:$D$137,Geometry!$F$83),0),Geometry!$D$83)</f>
        <v/>
      </c>
      <c r="I83" s="3">
        <f>IF(Geometry!$C$83="hanging",IF(Geometry!$F$83&gt;0,INDEX(Geometry!$E$58:$E$137,Geometry!$F$83)-Geometry!$G$83,0),Geometry!$E$83)</f>
        <v/>
      </c>
      <c r="J83" s="3">
        <f>IF(AND(Geometry!$B$26=1,Geometry!$A$83=1,Geometry!$B$83=Geometry!$B$20),1,0)</f>
        <v/>
      </c>
      <c r="K83" s="3">
        <f>Geometry!$H$83</f>
        <v/>
      </c>
      <c r="L83" s="3">
        <f>IF(Geometry!$J$83=1,Geometry!$B$25-Geometry!$B$19,Geometry!$I$83)</f>
        <v/>
      </c>
    </row>
    <row r="84">
      <c r="A84" s="3">
        <f>Inputs!$A$164</f>
        <v/>
      </c>
      <c r="B84" s="3">
        <f>IF(Geometry!$A$84=1,Inputs!$B$164&amp;"","")</f>
        <v/>
      </c>
      <c r="C84" s="3">
        <f>IF(Geometry!$A$84=1,Inputs!$D$164&amp;"","")</f>
        <v/>
      </c>
      <c r="D84" s="3">
        <f>IF(Geometry!$C$84="boom_local",Geometry!$B$17+Inputs!$G$164*Geometry!$B$14-Inputs!$H$164*Geometry!$B$15,IF(Geometry!$C$84="global",Inputs!$E$164,0))</f>
        <v/>
      </c>
      <c r="E84" s="3">
        <f>IF(Geometry!$C$84="boom_local",Geometry!$B$18+Inputs!$G$164*Geometry!$B$15+Inputs!$H$164*Geometry!$B$14,IF(Geometry!$C$84="global",Inputs!$F$164,0))</f>
        <v/>
      </c>
      <c r="F84" s="3">
        <f>IF(AND(Geometry!$C$84="hanging",Inputs!$I$164&lt;&gt;""),IFERROR(MATCH(Inputs!$I$164&amp;"",Geometry!$B$58:$B$137,0),0),0)</f>
        <v/>
      </c>
      <c r="G84" s="3">
        <f>IF(Geometry!$C$84="hanging",IF(Inputs!$J$164="",1,Inputs!$J$164),0)</f>
        <v/>
      </c>
      <c r="H84" s="3">
        <f>IF(Geometry!$C$84="hanging",IF(Geometry!$F$84&gt;0,INDEX(Geometry!$D$58:$D$137,Geometry!$F$84),0),Geometry!$D$84)</f>
        <v/>
      </c>
      <c r="I84" s="3">
        <f>IF(Geometry!$C$84="hanging",IF(Geometry!$F$84&gt;0,INDEX(Geometry!$E$58:$E$137,Geometry!$F$84)-Geometry!$G$84,0),Geometry!$E$84)</f>
        <v/>
      </c>
      <c r="J84" s="3">
        <f>IF(AND(Geometry!$B$26=1,Geometry!$A$84=1,Geometry!$B$84=Geometry!$B$20),1,0)</f>
        <v/>
      </c>
      <c r="K84" s="3">
        <f>Geometry!$H$84</f>
        <v/>
      </c>
      <c r="L84" s="3">
        <f>IF(Geometry!$J$84=1,Geometry!$B$25-Geometry!$B$19,Geometry!$I$84)</f>
        <v/>
      </c>
    </row>
    <row r="85">
      <c r="A85" s="3">
        <f>Inputs!$A$165</f>
        <v/>
      </c>
      <c r="B85" s="3">
        <f>IF(Geometry!$A$85=1,Inputs!$B$165&amp;"","")</f>
        <v/>
      </c>
      <c r="C85" s="3">
        <f>IF(Geometry!$A$85=1,Inputs!$D$165&amp;"","")</f>
        <v/>
      </c>
      <c r="D85" s="3">
        <f>IF(Geometry!$C$85="boom_local",Geometry!$B$17+Inputs!$G$165*Geometry!$B$14-Inputs!$H$165*Geometry!$B$15,IF(Geometry!$C$85="global",Inputs!$E$165,0))</f>
        <v/>
      </c>
      <c r="E85" s="3">
        <f>IF(Geometry!$C$85="boom_local",Geometry!$B$18+Inputs!$G$165*Geometry!$B$15+Inputs!$H$165*Geometry!$B$14,IF(Geometry!$C$85="global",Inputs!$F$165,0))</f>
        <v/>
      </c>
      <c r="F85" s="3">
        <f>IF(AND(Geometry!$C$85="hanging",Inputs!$I$165&lt;&gt;""),IFERROR(MATCH(Inputs!$I$165&amp;"",Geometry!$B$58:$B$137,0),0),0)</f>
        <v/>
      </c>
      <c r="G85" s="3">
        <f>IF(Geometry!$C$85="hanging",IF(Inputs!$J$165="",1,Inputs!$J$165),0)</f>
        <v/>
      </c>
      <c r="H85" s="3">
        <f>IF(Geometry!$C$85="hanging",IF(Geometry!$F$85&gt;0,INDEX(Geometry!$D$58:$D$137,Geometry!$F$85),0),Geometry!$D$85)</f>
        <v/>
      </c>
      <c r="I85" s="3">
        <f>IF(Geometry!$C$85="hanging",IF(Geometry!$F$85&gt;0,INDEX(Geometry!$E$58:$E$137,Geometry!$F$85)-Geometry!$G$85,0),Geometry!$E$85)</f>
        <v/>
      </c>
      <c r="J85" s="3">
        <f>IF(AND(Geometry!$B$26=1,Geometry!$A$85=1,Geometry!$B$85=Geometry!$B$20),1,0)</f>
        <v/>
      </c>
      <c r="K85" s="3">
        <f>Geometry!$H$85</f>
        <v/>
      </c>
      <c r="L85" s="3">
        <f>IF(Geometry!$J$85=1,Geometry!$B$25-Geometry!$B$19,Geometry!$I$85)</f>
        <v/>
      </c>
    </row>
    <row r="86">
      <c r="A86" s="3">
        <f>Inputs!$A$166</f>
        <v/>
      </c>
      <c r="B86" s="3">
        <f>IF(Geometry!$A$86=1,Inputs!$B$166&amp;"","")</f>
        <v/>
      </c>
      <c r="C86" s="3">
        <f>IF(Geometry!$A$86=1,Inputs!$D$166&amp;"","")</f>
        <v/>
      </c>
      <c r="D86" s="3">
        <f>IF(Geometry!$C$86="boom_local",Geometry!$B$17+Inputs!$G$166*Geometry!$B$14-Inputs!$H$166*Geometry!$B$15,IF(Geometry!$C$86="global",Inputs!$E$166,0))</f>
        <v/>
      </c>
      <c r="E86" s="3">
        <f>IF(Geometry!$C$86="boom_local",Geometry!$B$18+Inputs!$G$166*Geometry!$B$15+Inputs!$H$166*Geometry!$B$14,IF(Geometry!$C$86="global",Inputs!$F$166,0))</f>
        <v/>
      </c>
      <c r="F86" s="3">
        <f>IF(AND(Geometry!$C$86="hanging",Inputs!$I$166&lt;&gt;""),IFERROR(MATCH(Inputs!$I$166&amp;"",Geometry!$B$58:$B$137,0),0),0)</f>
        <v/>
      </c>
      <c r="G86" s="3">
        <f>IF(Geometry!$C$86="hanging",IF(Inputs!$J$166="",1,Inputs!$J$166),0)</f>
        <v/>
      </c>
      <c r="H86" s="3">
        <f>IF(Geometry!$C$86="hanging",IF(Geometry!$F$86&gt;0,INDEX(Geometry!$D$58:$D$137,Geometry!$F$86),0),Geometry!$D$86)</f>
        <v/>
      </c>
      <c r="I86" s="3">
        <f>IF(Geometry!$C$86="hanging",IF(Geometry!$F$86&gt;0,INDEX(Geometry!$E$58:$E$137,Geometry!$F$86)-Geometry!$G$86,0),Geometry!$E$86)</f>
        <v/>
      </c>
      <c r="J86" s="3">
        <f>IF(AND(Geometry!$B$26=1,Geometry!$A$86=1,Geometry!$B$86=Geometry!$B$20),1,0)</f>
        <v/>
      </c>
      <c r="K86" s="3">
        <f>Geometry!$H$86</f>
        <v/>
      </c>
      <c r="L86" s="3">
        <f>IF(Geometry!$J$86=1,Geometry!$B$25-Geometry!$B$19,Geometry!$I$86)</f>
        <v/>
      </c>
    </row>
    <row r="87">
      <c r="A87" s="3">
        <f>Inputs!$A$167</f>
        <v/>
      </c>
      <c r="B87" s="3">
        <f>IF(Geometry!$A$87=1,Inputs!$B$167&amp;"","")</f>
        <v/>
      </c>
      <c r="C87" s="3">
        <f>IF(Geometry!$A$87=1,Inputs!$D$167&amp;"","")</f>
        <v/>
      </c>
      <c r="D87" s="3">
        <f>IF(Geometry!$C$87="boom_local",Geometry!$B$17+Inputs!$G$167*Geometry!$B$14-Inputs!$H$167*Geometry!$B$15,IF(Geometry!$C$87="global",Inputs!$E$167,0))</f>
        <v/>
      </c>
      <c r="E87" s="3">
        <f>IF(Geometry!$C$87="boom_local",Geometry!$B$18+Inputs!$G$167*Geometry!$B$15+Inputs!$H$167*Geometry!$B$14,IF(Geometry!$C$87="global",Inputs!$F$167,0))</f>
        <v/>
      </c>
      <c r="F87" s="3">
        <f>IF(AND(Geometry!$C$87="hanging",Inputs!$I$167&lt;&gt;""),IFERROR(MATCH(Inputs!$I$167&amp;"",Geometry!$B$58:$B$137,0),0),0)</f>
        <v/>
      </c>
      <c r="G87" s="3">
        <f>IF(Geometry!$C$87="hanging",IF(Inputs!$J$167="",1,Inputs!$J$167),0)</f>
        <v/>
      </c>
      <c r="H87" s="3">
        <f>IF(Geometry!$C$87="hanging",IF(Geometry!$F$87&gt;0,INDEX(Geometry!$D$58:$D$137,Geometry!$F$87),0),Geometry!$D$87)</f>
        <v/>
      </c>
      <c r="I87" s="3">
        <f>IF(Geometry!$C$87="hanging",IF(Geometry!$F$87&gt;0,INDEX(Geometry!$E$58:$E$137,Geometry!$F$87)-Geometry!$G$87,0),Geometry!$E$87)</f>
        <v/>
      </c>
      <c r="J87" s="3">
        <f>IF(AND(Geometry!$B$26=1,Geometry!$A$87=1,Geometry!$B$87=Geometry!$B$20),1,0)</f>
        <v/>
      </c>
      <c r="K87" s="3">
        <f>Geometry!$H$87</f>
        <v/>
      </c>
      <c r="L87" s="3">
        <f>IF(Geometry!$J$87=1,Geometry!$B$25-Geometry!$B$19,Geometry!$I$87)</f>
        <v/>
      </c>
    </row>
    <row r="88">
      <c r="A88" s="3">
        <f>Inputs!$A$168</f>
        <v/>
      </c>
      <c r="B88" s="3">
        <f>IF(Geometry!$A$88=1,Inputs!$B$168&amp;"","")</f>
        <v/>
      </c>
      <c r="C88" s="3">
        <f>IF(Geometry!$A$88=1,Inputs!$D$168&amp;"","")</f>
        <v/>
      </c>
      <c r="D88" s="3">
        <f>IF(Geometry!$C$88="boom_local",Geometry!$B$17+Inputs!$G$168*Geometry!$B$14-Inputs!$H$168*Geometry!$B$15,IF(Geometry!$C$88="global",Inputs!$E$168,0))</f>
        <v/>
      </c>
      <c r="E88" s="3">
        <f>IF(Geometry!$C$88="boom_local",Geometry!$B$18+Inputs!$G$168*Geometry!$B$15+Inputs!$H$168*Geometry!$B$14,IF(Geometry!$C$88="global",Inputs!$F$168,0))</f>
        <v/>
      </c>
      <c r="F88" s="3">
        <f>IF(AND(Geometry!$C$88="hanging",Inputs!$I$168&lt;&gt;""),IFERROR(MATCH(Inputs!$I$168&amp;"",Geometry!$B$58:$B$137,0),0),0)</f>
        <v/>
      </c>
      <c r="G88" s="3">
        <f>IF(Geometry!$C$88="hanging",IF(Inputs!$J$168="",1,Inputs!$J$168),0)</f>
        <v/>
      </c>
      <c r="H88" s="3">
        <f>IF(Geometry!$C$88="hanging",IF(Geometry!$F$88&gt;0,INDEX(Geometry!$D$58:$D$137,Geometry!$F$88),0),Geometry!$D$88)</f>
        <v/>
      </c>
      <c r="I88" s="3">
        <f>IF(Geometry!$C$88="hanging",IF(Geometry!$F$88&gt;0,INDEX(Geometry!$E$58:$E$137,Geometry!$F$88)-Geometry!$G$88,0),Geometry!$E$88)</f>
        <v/>
      </c>
      <c r="J88" s="3">
        <f>IF(AND(Geometry!$B$26=1,Geometry!$A$88=1,Geometry!$B$88=Geometry!$B$20),1,0)</f>
        <v/>
      </c>
      <c r="K88" s="3">
        <f>Geometry!$H$88</f>
        <v/>
      </c>
      <c r="L88" s="3">
        <f>IF(Geometry!$J$88=1,Geometry!$B$25-Geometry!$B$19,Geometry!$I$88)</f>
        <v/>
      </c>
    </row>
    <row r="89">
      <c r="A89" s="3">
        <f>Inputs!$A$169</f>
        <v/>
      </c>
      <c r="B89" s="3">
        <f>IF(Geometry!$A$89=1,Inputs!$B$169&amp;"","")</f>
        <v/>
      </c>
      <c r="C89" s="3">
        <f>IF(Geometry!$A$89=1,Inputs!$D$169&amp;"","")</f>
        <v/>
      </c>
      <c r="D89" s="3">
        <f>IF(Geometry!$C$89="boom_local",Geometry!$B$17+Inputs!$G$169*Geometry!$B$14-Inputs!$H$169*Geometry!$B$15,IF(Geometry!$C$89="global",Inputs!$E$169,0))</f>
        <v/>
      </c>
      <c r="E89" s="3">
        <f>IF(Geometry!$C$89="boom_local",Geometry!$B$18+Inputs!$G$169*Geometry!$B$15+Inputs!$H$169*Geometry!$B$14,IF(Geometry!$C$89="global",Inputs!$F$169,0))</f>
        <v/>
      </c>
      <c r="F89" s="3">
        <f>IF(AND(Geometry!$C$89="hanging",Inputs!$I$169&lt;&gt;""),IFERROR(MATCH(Inputs!$I$169&amp;"",Geometry!$B$58:$B$137,0),0),0)</f>
        <v/>
      </c>
      <c r="G89" s="3">
        <f>IF(Geometry!$C$89="hanging",IF(Inputs!$J$169="",1,Inputs!$J$169),0)</f>
        <v/>
      </c>
      <c r="H89" s="3">
        <f>IF(Geometry!$C$89="hanging",IF(Geometry!$F$89&gt;0,INDEX(Geometry!$D$58:$D$137,Geometry!$F$89),0),Geometry!$D$89)</f>
        <v/>
      </c>
      <c r="I89" s="3">
        <f>IF(Geometry!$C$89="hanging",IF(Geometry!$F$89&gt;0,INDEX(Geometry!$E$58:$E$137,Geometry!$F$89)-Geometry!$G$89,0),Geometry!$E$89)</f>
        <v/>
      </c>
      <c r="J89" s="3">
        <f>IF(AND(Geometry!$B$26=1,Geometry!$A$89=1,Geometry!$B$89=Geometry!$B$20),1,0)</f>
        <v/>
      </c>
      <c r="K89" s="3">
        <f>Geometry!$H$89</f>
        <v/>
      </c>
      <c r="L89" s="3">
        <f>IF(Geometry!$J$89=1,Geometry!$B$25-Geometry!$B$19,Geometry!$I$89)</f>
        <v/>
      </c>
    </row>
    <row r="90">
      <c r="A90" s="3">
        <f>Inputs!$A$170</f>
        <v/>
      </c>
      <c r="B90" s="3">
        <f>IF(Geometry!$A$90=1,Inputs!$B$170&amp;"","")</f>
        <v/>
      </c>
      <c r="C90" s="3">
        <f>IF(Geometry!$A$90=1,Inputs!$D$170&amp;"","")</f>
        <v/>
      </c>
      <c r="D90" s="3">
        <f>IF(Geometry!$C$90="boom_local",Geometry!$B$17+Inputs!$G$170*Geometry!$B$14-Inputs!$H$170*Geometry!$B$15,IF(Geometry!$C$90="global",Inputs!$E$170,0))</f>
        <v/>
      </c>
      <c r="E90" s="3">
        <f>IF(Geometry!$C$90="boom_local",Geometry!$B$18+Inputs!$G$170*Geometry!$B$15+Inputs!$H$170*Geometry!$B$14,IF(Geometry!$C$90="global",Inputs!$F$170,0))</f>
        <v/>
      </c>
      <c r="F90" s="3">
        <f>IF(AND(Geometry!$C$90="hanging",Inputs!$I$170&lt;&gt;""),IFERROR(MATCH(Inputs!$I$170&amp;"",Geometry!$B$58:$B$137,0),0),0)</f>
        <v/>
      </c>
      <c r="G90" s="3">
        <f>IF(Geometry!$C$90="hanging",IF(Inputs!$J$170="",1,Inputs!$J$170),0)</f>
        <v/>
      </c>
      <c r="H90" s="3">
        <f>IF(Geometry!$C$90="hanging",IF(Geometry!$F$90&gt;0,INDEX(Geometry!$D$58:$D$137,Geometry!$F$90),0),Geometry!$D$90)</f>
        <v/>
      </c>
      <c r="I90" s="3">
        <f>IF(Geometry!$C$90="hanging",IF(Geometry!$F$90&gt;0,INDEX(Geometry!$E$58:$E$137,Geometry!$F$90)-Geometry!$G$90,0),Geometry!$E$90)</f>
        <v/>
      </c>
      <c r="J90" s="3">
        <f>IF(AND(Geometry!$B$26=1,Geometry!$A$90=1,Geometry!$B$90=Geometry!$B$20),1,0)</f>
        <v/>
      </c>
      <c r="K90" s="3">
        <f>Geometry!$H$90</f>
        <v/>
      </c>
      <c r="L90" s="3">
        <f>IF(Geometry!$J$90=1,Geometry!$B$25-Geometry!$B$19,Geometry!$I$90)</f>
        <v/>
      </c>
    </row>
    <row r="91">
      <c r="A91" s="3">
        <f>Inputs!$A$171</f>
        <v/>
      </c>
      <c r="B91" s="3">
        <f>IF(Geometry!$A$91=1,Inputs!$B$171&amp;"","")</f>
        <v/>
      </c>
      <c r="C91" s="3">
        <f>IF(Geometry!$A$91=1,Inputs!$D$171&amp;"","")</f>
        <v/>
      </c>
      <c r="D91" s="3">
        <f>IF(Geometry!$C$91="boom_local",Geometry!$B$17+Inputs!$G$171*Geometry!$B$14-Inputs!$H$171*Geometry!$B$15,IF(Geometry!$C$91="global",Inputs!$E$171,0))</f>
        <v/>
      </c>
      <c r="E91" s="3">
        <f>IF(Geometry!$C$91="boom_local",Geometry!$B$18+Inputs!$G$171*Geometry!$B$15+Inputs!$H$171*Geometry!$B$14,IF(Geometry!$C$91="global",Inputs!$F$171,0))</f>
        <v/>
      </c>
      <c r="F91" s="3">
        <f>IF(AND(Geometry!$C$91="hanging",Inputs!$I$171&lt;&gt;""),IFERROR(MATCH(Inputs!$I$171&amp;"",Geometry!$B$58:$B$137,0),0),0)</f>
        <v/>
      </c>
      <c r="G91" s="3">
        <f>IF(Geometry!$C$91="hanging",IF(Inputs!$J$171="",1,Inputs!$J$171),0)</f>
        <v/>
      </c>
      <c r="H91" s="3">
        <f>IF(Geometry!$C$91="hanging",IF(Geometry!$F$91&gt;0,INDEX(Geometry!$D$58:$D$137,Geometry!$F$91),0),Geometry!$D$91)</f>
        <v/>
      </c>
      <c r="I91" s="3">
        <f>IF(Geometry!$C$91="hanging",IF(Geometry!$F$91&gt;0,INDEX(Geometry!$E$58:$E$137,Geometry!$F$91)-Geometry!$G$91,0),Geometry!$E$91)</f>
        <v/>
      </c>
      <c r="J91" s="3">
        <f>IF(AND(Geometry!$B$26=1,Geometry!$A$91=1,Geometry!$B$91=Geometry!$B$20),1,0)</f>
        <v/>
      </c>
      <c r="K91" s="3">
        <f>Geometry!$H$91</f>
        <v/>
      </c>
      <c r="L91" s="3">
        <f>IF(Geometry!$J$91=1,Geometry!$B$25-Geometry!$B$19,Geometry!$I$91)</f>
        <v/>
      </c>
    </row>
    <row r="92">
      <c r="A92" s="3">
        <f>Inputs!$A$172</f>
        <v/>
      </c>
      <c r="B92" s="3">
        <f>IF(Geometry!$A$92=1,Inputs!$B$172&amp;"","")</f>
        <v/>
      </c>
      <c r="C92" s="3">
        <f>IF(Geometry!$A$92=1,Inputs!$D$172&amp;"","")</f>
        <v/>
      </c>
      <c r="D92" s="3">
        <f>IF(Geometry!$C$92="boom_local",Geometry!$B$17+Inputs!$G$172*Geometry!$B$14-Inputs!$H$172*Geometry!$B$15,IF(Geometry!$C$92="global",Inputs!$E$172,0))</f>
        <v/>
      </c>
      <c r="E92" s="3">
        <f>IF(Geometry!$C$92="boom_local",Geometry!$B$18+Inputs!$G$172*Geometry!$B$15+Inputs!$H$172*Geometry!$B$14,IF(Geometry!$C$92="global",Inputs!$F$172,0))</f>
        <v/>
      </c>
      <c r="F92" s="3">
        <f>IF(AND(Geometry!$C$92="hanging",Inputs!$I$172&lt;&gt;""),IFERROR(MATCH(Inputs!$I$172&amp;"",Geometry!$B$58:$B$137,0),0),0)</f>
        <v/>
      </c>
      <c r="G92" s="3">
        <f>IF(Geometry!$C$92="hanging",IF(Inputs!$J$172="",1,Inputs!$J$172),0)</f>
        <v/>
      </c>
      <c r="H92" s="3">
        <f>IF(Geometry!$C$92="hanging",IF(Geometry!$F$92&gt;0,INDEX(Geometry!$D$58:$D$137,Geometry!$F$92),0),Geometry!$D$92)</f>
        <v/>
      </c>
      <c r="I92" s="3">
        <f>IF(Geometry!$C$92="hanging",IF(Geometry!$F$92&gt;0,INDEX(Geometry!$E$58:$E$137,Geometry!$F$92)-Geometry!$G$92,0),Geometry!$E$92)</f>
        <v/>
      </c>
      <c r="J92" s="3">
        <f>IF(AND(Geometry!$B$26=1,Geometry!$A$92=1,Geometry!$B$92=Geometry!$B$20),1,0)</f>
        <v/>
      </c>
      <c r="K92" s="3">
        <f>Geometry!$H$92</f>
        <v/>
      </c>
      <c r="L92" s="3">
        <f>IF(Geometry!$J$92=1,Geometry!$B$25-Geometry!$B$19,Geometry!$I$92)</f>
        <v/>
      </c>
    </row>
    <row r="93">
      <c r="A93" s="3">
        <f>Inputs!$A$173</f>
        <v/>
      </c>
      <c r="B93" s="3">
        <f>IF(Geometry!$A$93=1,Inputs!$B$173&amp;"","")</f>
        <v/>
      </c>
      <c r="C93" s="3">
        <f>IF(Geometry!$A$93=1,Inputs!$D$173&amp;"","")</f>
        <v/>
      </c>
      <c r="D93" s="3">
        <f>IF(Geometry!$C$93="boom_local",Geometry!$B$17+Inputs!$G$173*Geometry!$B$14-Inputs!$H$173*Geometry!$B$15,IF(Geometry!$C$93="global",Inputs!$E$173,0))</f>
        <v/>
      </c>
      <c r="E93" s="3">
        <f>IF(Geometry!$C$93="boom_local",Geometry!$B$18+Inputs!$G$173*Geometry!$B$15+Inputs!$H$173*Geometry!$B$14,IF(Geometry!$C$93="global",Inputs!$F$173,0))</f>
        <v/>
      </c>
      <c r="F93" s="3">
        <f>IF(AND(Geometry!$C$93="hanging",Inputs!$I$173&lt;&gt;""),IFERROR(MATCH(Inputs!$I$173&amp;"",Geometry!$B$58:$B$137,0),0),0)</f>
        <v/>
      </c>
      <c r="G93" s="3">
        <f>IF(Geometry!$C$93="hanging",IF(Inputs!$J$173="",1,Inputs!$J$173),0)</f>
        <v/>
      </c>
      <c r="H93" s="3">
        <f>IF(Geometry!$C$93="hanging",IF(Geometry!$F$93&gt;0,INDEX(Geometry!$D$58:$D$137,Geometry!$F$93),0),Geometry!$D$93)</f>
        <v/>
      </c>
      <c r="I93" s="3">
        <f>IF(Geometry!$C$93="hanging",IF(Geometry!$F$93&gt;0,INDEX(Geometry!$E$58:$E$137,Geometry!$F$93)-Geometry!$G$93,0),Geometry!$E$93)</f>
        <v/>
      </c>
      <c r="J93" s="3">
        <f>IF(AND(Geometry!$B$26=1,Geometry!$A$93=1,Geometry!$B$93=Geometry!$B$20),1,0)</f>
        <v/>
      </c>
      <c r="K93" s="3">
        <f>Geometry!$H$93</f>
        <v/>
      </c>
      <c r="L93" s="3">
        <f>IF(Geometry!$J$93=1,Geometry!$B$25-Geometry!$B$19,Geometry!$I$93)</f>
        <v/>
      </c>
    </row>
    <row r="94">
      <c r="A94" s="3">
        <f>Inputs!$A$174</f>
        <v/>
      </c>
      <c r="B94" s="3">
        <f>IF(Geometry!$A$94=1,Inputs!$B$174&amp;"","")</f>
        <v/>
      </c>
      <c r="C94" s="3">
        <f>IF(Geometry!$A$94=1,Inputs!$D$174&amp;"","")</f>
        <v/>
      </c>
      <c r="D94" s="3">
        <f>IF(Geometry!$C$94="boom_local",Geometry!$B$17+Inputs!$G$174*Geometry!$B$14-Inputs!$H$174*Geometry!$B$15,IF(Geometry!$C$94="global",Inputs!$E$174,0))</f>
        <v/>
      </c>
      <c r="E94" s="3">
        <f>IF(Geometry!$C$94="boom_local",Geometry!$B$18+Inputs!$G$174*Geometry!$B$15+Inputs!$H$174*Geometry!$B$14,IF(Geometry!$C$94="global",Inputs!$F$174,0))</f>
        <v/>
      </c>
      <c r="F94" s="3">
        <f>IF(AND(Geometry!$C$94="hanging",Inputs!$I$174&lt;&gt;""),IFERROR(MATCH(Inputs!$I$174&amp;"",Geometry!$B$58:$B$137,0),0),0)</f>
        <v/>
      </c>
      <c r="G94" s="3">
        <f>IF(Geometry!$C$94="hanging",IF(Inputs!$J$174="",1,Inputs!$J$174),0)</f>
        <v/>
      </c>
      <c r="H94" s="3">
        <f>IF(Geometry!$C$94="hanging",IF(Geometry!$F$94&gt;0,INDEX(Geometry!$D$58:$D$137,Geometry!$F$94),0),Geometry!$D$94)</f>
        <v/>
      </c>
      <c r="I94" s="3">
        <f>IF(Geometry!$C$94="hanging",IF(Geometry!$F$94&gt;0,INDEX(Geometry!$E$58:$E$137,Geometry!$F$94)-Geometry!$G$94,0),Geometry!$E$94)</f>
        <v/>
      </c>
      <c r="J94" s="3">
        <f>IF(AND(Geometry!$B$26=1,Geometry!$A$94=1,Geometry!$B$94=Geometry!$B$20),1,0)</f>
        <v/>
      </c>
      <c r="K94" s="3">
        <f>Geometry!$H$94</f>
        <v/>
      </c>
      <c r="L94" s="3">
        <f>IF(Geometry!$J$94=1,Geometry!$B$25-Geometry!$B$19,Geometry!$I$94)</f>
        <v/>
      </c>
    </row>
    <row r="95">
      <c r="A95" s="3">
        <f>Inputs!$A$175</f>
        <v/>
      </c>
      <c r="B95" s="3">
        <f>IF(Geometry!$A$95=1,Inputs!$B$175&amp;"","")</f>
        <v/>
      </c>
      <c r="C95" s="3">
        <f>IF(Geometry!$A$95=1,Inputs!$D$175&amp;"","")</f>
        <v/>
      </c>
      <c r="D95" s="3">
        <f>IF(Geometry!$C$95="boom_local",Geometry!$B$17+Inputs!$G$175*Geometry!$B$14-Inputs!$H$175*Geometry!$B$15,IF(Geometry!$C$95="global",Inputs!$E$175,0))</f>
        <v/>
      </c>
      <c r="E95" s="3">
        <f>IF(Geometry!$C$95="boom_local",Geometry!$B$18+Inputs!$G$175*Geometry!$B$15+Inputs!$H$175*Geometry!$B$14,IF(Geometry!$C$95="global",Inputs!$F$175,0))</f>
        <v/>
      </c>
      <c r="F95" s="3">
        <f>IF(AND(Geometry!$C$95="hanging",Inputs!$I$175&lt;&gt;""),IFERROR(MATCH(Inputs!$I$175&amp;"",Geometry!$B$58:$B$137,0),0),0)</f>
        <v/>
      </c>
      <c r="G95" s="3">
        <f>IF(Geometry!$C$95="hanging",IF(Inputs!$J$175="",1,Inputs!$J$175),0)</f>
        <v/>
      </c>
      <c r="H95" s="3">
        <f>IF(Geometry!$C$95="hanging",IF(Geometry!$F$95&gt;0,INDEX(Geometry!$D$58:$D$137,Geometry!$F$95),0),Geometry!$D$95)</f>
        <v/>
      </c>
      <c r="I95" s="3">
        <f>IF(Geometry!$C$95="hanging",IF(Geometry!$F$95&gt;0,INDEX(Geometry!$E$58:$E$137,Geometry!$F$95)-Geometry!$G$95,0),Geometry!$E$95)</f>
        <v/>
      </c>
      <c r="J95" s="3">
        <f>IF(AND(Geometry!$B$26=1,Geometry!$A$95=1,Geometry!$B$95=Geometry!$B$20),1,0)</f>
        <v/>
      </c>
      <c r="K95" s="3">
        <f>Geometry!$H$95</f>
        <v/>
      </c>
      <c r="L95" s="3">
        <f>IF(Geometry!$J$95=1,Geometry!$B$25-Geometry!$B$19,Geometry!$I$95)</f>
        <v/>
      </c>
    </row>
    <row r="96">
      <c r="A96" s="3">
        <f>Inputs!$A$176</f>
        <v/>
      </c>
      <c r="B96" s="3">
        <f>IF(Geometry!$A$96=1,Inputs!$B$176&amp;"","")</f>
        <v/>
      </c>
      <c r="C96" s="3">
        <f>IF(Geometry!$A$96=1,Inputs!$D$176&amp;"","")</f>
        <v/>
      </c>
      <c r="D96" s="3">
        <f>IF(Geometry!$C$96="boom_local",Geometry!$B$17+Inputs!$G$176*Geometry!$B$14-Inputs!$H$176*Geometry!$B$15,IF(Geometry!$C$96="global",Inputs!$E$176,0))</f>
        <v/>
      </c>
      <c r="E96" s="3">
        <f>IF(Geometry!$C$96="boom_local",Geometry!$B$18+Inputs!$G$176*Geometry!$B$15+Inputs!$H$176*Geometry!$B$14,IF(Geometry!$C$96="global",Inputs!$F$176,0))</f>
        <v/>
      </c>
      <c r="F96" s="3">
        <f>IF(AND(Geometry!$C$96="hanging",Inputs!$I$176&lt;&gt;""),IFERROR(MATCH(Inputs!$I$176&amp;"",Geometry!$B$58:$B$137,0),0),0)</f>
        <v/>
      </c>
      <c r="G96" s="3">
        <f>IF(Geometry!$C$96="hanging",IF(Inputs!$J$176="",1,Inputs!$J$176),0)</f>
        <v/>
      </c>
      <c r="H96" s="3">
        <f>IF(Geometry!$C$96="hanging",IF(Geometry!$F$96&gt;0,INDEX(Geometry!$D$58:$D$137,Geometry!$F$96),0),Geometry!$D$96)</f>
        <v/>
      </c>
      <c r="I96" s="3">
        <f>IF(Geometry!$C$96="hanging",IF(Geometry!$F$96&gt;0,INDEX(Geometry!$E$58:$E$137,Geometry!$F$96)-Geometry!$G$96,0),Geometry!$E$96)</f>
        <v/>
      </c>
      <c r="J96" s="3">
        <f>IF(AND(Geometry!$B$26=1,Geometry!$A$96=1,Geometry!$B$96=Geometry!$B$20),1,0)</f>
        <v/>
      </c>
      <c r="K96" s="3">
        <f>Geometry!$H$96</f>
        <v/>
      </c>
      <c r="L96" s="3">
        <f>IF(Geometry!$J$96=1,Geometry!$B$25-Geometry!$B$19,Geometry!$I$96)</f>
        <v/>
      </c>
    </row>
    <row r="97">
      <c r="A97" s="3">
        <f>Inputs!$A$177</f>
        <v/>
      </c>
      <c r="B97" s="3">
        <f>IF(Geometry!$A$97=1,Inputs!$B$177&amp;"","")</f>
        <v/>
      </c>
      <c r="C97" s="3">
        <f>IF(Geometry!$A$97=1,Inputs!$D$177&amp;"","")</f>
        <v/>
      </c>
      <c r="D97" s="3">
        <f>IF(Geometry!$C$97="boom_local",Geometry!$B$17+Inputs!$G$177*Geometry!$B$14-Inputs!$H$177*Geometry!$B$15,IF(Geometry!$C$97="global",Inputs!$E$177,0))</f>
        <v/>
      </c>
      <c r="E97" s="3">
        <f>IF(Geometry!$C$97="boom_local",Geometry!$B$18+Inputs!$G$177*Geometry!$B$15+Inputs!$H$177*Geometry!$B$14,IF(Geometry!$C$97="global",Inputs!$F$177,0))</f>
        <v/>
      </c>
      <c r="F97" s="3">
        <f>IF(AND(Geometry!$C$97="hanging",Inputs!$I$177&lt;&gt;""),IFERROR(MATCH(Inputs!$I$177&amp;"",Geometry!$B$58:$B$137,0),0),0)</f>
        <v/>
      </c>
      <c r="G97" s="3">
        <f>IF(Geometry!$C$97="hanging",IF(Inputs!$J$177="",1,Inputs!$J$177),0)</f>
        <v/>
      </c>
      <c r="H97" s="3">
        <f>IF(Geometry!$C$97="hanging",IF(Geometry!$F$97&gt;0,INDEX(Geometry!$D$58:$D$137,Geometry!$F$97),0),Geometry!$D$97)</f>
        <v/>
      </c>
      <c r="I97" s="3">
        <f>IF(Geometry!$C$97="hanging",IF(Geometry!$F$97&gt;0,INDEX(Geometry!$E$58:$E$137,Geometry!$F$97)-Geometry!$G$97,0),Geometry!$E$97)</f>
        <v/>
      </c>
      <c r="J97" s="3">
        <f>IF(AND(Geometry!$B$26=1,Geometry!$A$97=1,Geometry!$B$97=Geometry!$B$20),1,0)</f>
        <v/>
      </c>
      <c r="K97" s="3">
        <f>Geometry!$H$97</f>
        <v/>
      </c>
      <c r="L97" s="3">
        <f>IF(Geometry!$J$97=1,Geometry!$B$25-Geometry!$B$19,Geometry!$I$97)</f>
        <v/>
      </c>
    </row>
    <row r="98">
      <c r="A98" s="3">
        <f>Inputs!$A$178</f>
        <v/>
      </c>
      <c r="B98" s="3">
        <f>IF(Geometry!$A$98=1,Inputs!$B$178&amp;"","")</f>
        <v/>
      </c>
      <c r="C98" s="3">
        <f>IF(Geometry!$A$98=1,Inputs!$D$178&amp;"","")</f>
        <v/>
      </c>
      <c r="D98" s="3">
        <f>IF(Geometry!$C$98="boom_local",Geometry!$B$17+Inputs!$G$178*Geometry!$B$14-Inputs!$H$178*Geometry!$B$15,IF(Geometry!$C$98="global",Inputs!$E$178,0))</f>
        <v/>
      </c>
      <c r="E98" s="3">
        <f>IF(Geometry!$C$98="boom_local",Geometry!$B$18+Inputs!$G$178*Geometry!$B$15+Inputs!$H$178*Geometry!$B$14,IF(Geometry!$C$98="global",Inputs!$F$178,0))</f>
        <v/>
      </c>
      <c r="F98" s="3">
        <f>IF(AND(Geometry!$C$98="hanging",Inputs!$I$178&lt;&gt;""),IFERROR(MATCH(Inputs!$I$178&amp;"",Geometry!$B$58:$B$137,0),0),0)</f>
        <v/>
      </c>
      <c r="G98" s="3">
        <f>IF(Geometry!$C$98="hanging",IF(Inputs!$J$178="",1,Inputs!$J$178),0)</f>
        <v/>
      </c>
      <c r="H98" s="3">
        <f>IF(Geometry!$C$98="hanging",IF(Geometry!$F$98&gt;0,INDEX(Geometry!$D$58:$D$137,Geometry!$F$98),0),Geometry!$D$98)</f>
        <v/>
      </c>
      <c r="I98" s="3">
        <f>IF(Geometry!$C$98="hanging",IF(Geometry!$F$98&gt;0,INDEX(Geometry!$E$58:$E$137,Geometry!$F$98)-Geometry!$G$98,0),Geometry!$E$98)</f>
        <v/>
      </c>
      <c r="J98" s="3">
        <f>IF(AND(Geometry!$B$26=1,Geometry!$A$98=1,Geometry!$B$98=Geometry!$B$20),1,0)</f>
        <v/>
      </c>
      <c r="K98" s="3">
        <f>Geometry!$H$98</f>
        <v/>
      </c>
      <c r="L98" s="3">
        <f>IF(Geometry!$J$98=1,Geometry!$B$25-Geometry!$B$19,Geometry!$I$98)</f>
        <v/>
      </c>
    </row>
    <row r="99">
      <c r="A99" s="3">
        <f>Inputs!$A$179</f>
        <v/>
      </c>
      <c r="B99" s="3">
        <f>IF(Geometry!$A$99=1,Inputs!$B$179&amp;"","")</f>
        <v/>
      </c>
      <c r="C99" s="3">
        <f>IF(Geometry!$A$99=1,Inputs!$D$179&amp;"","")</f>
        <v/>
      </c>
      <c r="D99" s="3">
        <f>IF(Geometry!$C$99="boom_local",Geometry!$B$17+Inputs!$G$179*Geometry!$B$14-Inputs!$H$179*Geometry!$B$15,IF(Geometry!$C$99="global",Inputs!$E$179,0))</f>
        <v/>
      </c>
      <c r="E99" s="3">
        <f>IF(Geometry!$C$99="boom_local",Geometry!$B$18+Inputs!$G$179*Geometry!$B$15+Inputs!$H$179*Geometry!$B$14,IF(Geometry!$C$99="global",Inputs!$F$179,0))</f>
        <v/>
      </c>
      <c r="F99" s="3">
        <f>IF(AND(Geometry!$C$99="hanging",Inputs!$I$179&lt;&gt;""),IFERROR(MATCH(Inputs!$I$179&amp;"",Geometry!$B$58:$B$137,0),0),0)</f>
        <v/>
      </c>
      <c r="G99" s="3">
        <f>IF(Geometry!$C$99="hanging",IF(Inputs!$J$179="",1,Inputs!$J$179),0)</f>
        <v/>
      </c>
      <c r="H99" s="3">
        <f>IF(Geometry!$C$99="hanging",IF(Geometry!$F$99&gt;0,INDEX(Geometry!$D$58:$D$137,Geometry!$F$99),0),Geometry!$D$99)</f>
        <v/>
      </c>
      <c r="I99" s="3">
        <f>IF(Geometry!$C$99="hanging",IF(Geometry!$F$99&gt;0,INDEX(Geometry!$E$58:$E$137,Geometry!$F$99)-Geometry!$G$99,0),Geometry!$E$99)</f>
        <v/>
      </c>
      <c r="J99" s="3">
        <f>IF(AND(Geometry!$B$26=1,Geometry!$A$99=1,Geometry!$B$99=Geometry!$B$20),1,0)</f>
        <v/>
      </c>
      <c r="K99" s="3">
        <f>Geometry!$H$99</f>
        <v/>
      </c>
      <c r="L99" s="3">
        <f>IF(Geometry!$J$99=1,Geometry!$B$25-Geometry!$B$19,Geometry!$I$99)</f>
        <v/>
      </c>
    </row>
    <row r="100">
      <c r="A100" s="3">
        <f>Inputs!$A$180</f>
        <v/>
      </c>
      <c r="B100" s="3">
        <f>IF(Geometry!$A$100=1,Inputs!$B$180&amp;"","")</f>
        <v/>
      </c>
      <c r="C100" s="3">
        <f>IF(Geometry!$A$100=1,Inputs!$D$180&amp;"","")</f>
        <v/>
      </c>
      <c r="D100" s="3">
        <f>IF(Geometry!$C$100="boom_local",Geometry!$B$17+Inputs!$G$180*Geometry!$B$14-Inputs!$H$180*Geometry!$B$15,IF(Geometry!$C$100="global",Inputs!$E$180,0))</f>
        <v/>
      </c>
      <c r="E100" s="3">
        <f>IF(Geometry!$C$100="boom_local",Geometry!$B$18+Inputs!$G$180*Geometry!$B$15+Inputs!$H$180*Geometry!$B$14,IF(Geometry!$C$100="global",Inputs!$F$180,0))</f>
        <v/>
      </c>
      <c r="F100" s="3">
        <f>IF(AND(Geometry!$C$100="hanging",Inputs!$I$180&lt;&gt;""),IFERROR(MATCH(Inputs!$I$180&amp;"",Geometry!$B$58:$B$137,0),0),0)</f>
        <v/>
      </c>
      <c r="G100" s="3">
        <f>IF(Geometry!$C$100="hanging",IF(Inputs!$J$180="",1,Inputs!$J$180),0)</f>
        <v/>
      </c>
      <c r="H100" s="3">
        <f>IF(Geometry!$C$100="hanging",IF(Geometry!$F$100&gt;0,INDEX(Geometry!$D$58:$D$137,Geometry!$F$100),0),Geometry!$D$100)</f>
        <v/>
      </c>
      <c r="I100" s="3">
        <f>IF(Geometry!$C$100="hanging",IF(Geometry!$F$100&gt;0,INDEX(Geometry!$E$58:$E$137,Geometry!$F$100)-Geometry!$G$100,0),Geometry!$E$100)</f>
        <v/>
      </c>
      <c r="J100" s="3">
        <f>IF(AND(Geometry!$B$26=1,Geometry!$A$100=1,Geometry!$B$100=Geometry!$B$20),1,0)</f>
        <v/>
      </c>
      <c r="K100" s="3">
        <f>Geometry!$H$100</f>
        <v/>
      </c>
      <c r="L100" s="3">
        <f>IF(Geometry!$J$100=1,Geometry!$B$25-Geometry!$B$19,Geometry!$I$100)</f>
        <v/>
      </c>
    </row>
    <row r="101">
      <c r="A101" s="3">
        <f>Inputs!$A$181</f>
        <v/>
      </c>
      <c r="B101" s="3">
        <f>IF(Geometry!$A$101=1,Inputs!$B$181&amp;"","")</f>
        <v/>
      </c>
      <c r="C101" s="3">
        <f>IF(Geometry!$A$101=1,Inputs!$D$181&amp;"","")</f>
        <v/>
      </c>
      <c r="D101" s="3">
        <f>IF(Geometry!$C$101="boom_local",Geometry!$B$17+Inputs!$G$181*Geometry!$B$14-Inputs!$H$181*Geometry!$B$15,IF(Geometry!$C$101="global",Inputs!$E$181,0))</f>
        <v/>
      </c>
      <c r="E101" s="3">
        <f>IF(Geometry!$C$101="boom_local",Geometry!$B$18+Inputs!$G$181*Geometry!$B$15+Inputs!$H$181*Geometry!$B$14,IF(Geometry!$C$101="global",Inputs!$F$181,0))</f>
        <v/>
      </c>
      <c r="F101" s="3">
        <f>IF(AND(Geometry!$C$101="hanging",Inputs!$I$181&lt;&gt;""),IFERROR(MATCH(Inputs!$I$181&amp;"",Geometry!$B$58:$B$137,0),0),0)</f>
        <v/>
      </c>
      <c r="G101" s="3">
        <f>IF(Geometry!$C$101="hanging",IF(Inputs!$J$181="",1,Inputs!$J$181),0)</f>
        <v/>
      </c>
      <c r="H101" s="3">
        <f>IF(Geometry!$C$101="hanging",IF(Geometry!$F$101&gt;0,INDEX(Geometry!$D$58:$D$137,Geometry!$F$101),0),Geometry!$D$101)</f>
        <v/>
      </c>
      <c r="I101" s="3">
        <f>IF(Geometry!$C$101="hanging",IF(Geometry!$F$101&gt;0,INDEX(Geometry!$E$58:$E$137,Geometry!$F$101)-Geometry!$G$101,0),Geometry!$E$101)</f>
        <v/>
      </c>
      <c r="J101" s="3">
        <f>IF(AND(Geometry!$B$26=1,Geometry!$A$101=1,Geometry!$B$101=Geometry!$B$20),1,0)</f>
        <v/>
      </c>
      <c r="K101" s="3">
        <f>Geometry!$H$101</f>
        <v/>
      </c>
      <c r="L101" s="3">
        <f>IF(Geometry!$J$101=1,Geometry!$B$25-Geometry!$B$19,Geometry!$I$101)</f>
        <v/>
      </c>
    </row>
    <row r="102">
      <c r="A102" s="3">
        <f>Inputs!$A$182</f>
        <v/>
      </c>
      <c r="B102" s="3">
        <f>IF(Geometry!$A$102=1,Inputs!$B$182&amp;"","")</f>
        <v/>
      </c>
      <c r="C102" s="3">
        <f>IF(Geometry!$A$102=1,Inputs!$D$182&amp;"","")</f>
        <v/>
      </c>
      <c r="D102" s="3">
        <f>IF(Geometry!$C$102="boom_local",Geometry!$B$17+Inputs!$G$182*Geometry!$B$14-Inputs!$H$182*Geometry!$B$15,IF(Geometry!$C$102="global",Inputs!$E$182,0))</f>
        <v/>
      </c>
      <c r="E102" s="3">
        <f>IF(Geometry!$C$102="boom_local",Geometry!$B$18+Inputs!$G$182*Geometry!$B$15+Inputs!$H$182*Geometry!$B$14,IF(Geometry!$C$102="global",Inputs!$F$182,0))</f>
        <v/>
      </c>
      <c r="F102" s="3">
        <f>IF(AND(Geometry!$C$102="hanging",Inputs!$I$182&lt;&gt;""),IFERROR(MATCH(Inputs!$I$182&amp;"",Geometry!$B$58:$B$137,0),0),0)</f>
        <v/>
      </c>
      <c r="G102" s="3">
        <f>IF(Geometry!$C$102="hanging",IF(Inputs!$J$182="",1,Inputs!$J$182),0)</f>
        <v/>
      </c>
      <c r="H102" s="3">
        <f>IF(Geometry!$C$102="hanging",IF(Geometry!$F$102&gt;0,INDEX(Geometry!$D$58:$D$137,Geometry!$F$102),0),Geometry!$D$102)</f>
        <v/>
      </c>
      <c r="I102" s="3">
        <f>IF(Geometry!$C$102="hanging",IF(Geometry!$F$102&gt;0,INDEX(Geometry!$E$58:$E$137,Geometry!$F$102)-Geometry!$G$102,0),Geometry!$E$102)</f>
        <v/>
      </c>
      <c r="J102" s="3">
        <f>IF(AND(Geometry!$B$26=1,Geometry!$A$102=1,Geometry!$B$102=Geometry!$B$20),1,0)</f>
        <v/>
      </c>
      <c r="K102" s="3">
        <f>Geometry!$H$102</f>
        <v/>
      </c>
      <c r="L102" s="3">
        <f>IF(Geometry!$J$102=1,Geometry!$B$25-Geometry!$B$19,Geometry!$I$102)</f>
        <v/>
      </c>
    </row>
    <row r="103">
      <c r="A103" s="3">
        <f>Inputs!$A$183</f>
        <v/>
      </c>
      <c r="B103" s="3">
        <f>IF(Geometry!$A$103=1,Inputs!$B$183&amp;"","")</f>
        <v/>
      </c>
      <c r="C103" s="3">
        <f>IF(Geometry!$A$103=1,Inputs!$D$183&amp;"","")</f>
        <v/>
      </c>
      <c r="D103" s="3">
        <f>IF(Geometry!$C$103="boom_local",Geometry!$B$17+Inputs!$G$183*Geometry!$B$14-Inputs!$H$183*Geometry!$B$15,IF(Geometry!$C$103="global",Inputs!$E$183,0))</f>
        <v/>
      </c>
      <c r="E103" s="3">
        <f>IF(Geometry!$C$103="boom_local",Geometry!$B$18+Inputs!$G$183*Geometry!$B$15+Inputs!$H$183*Geometry!$B$14,IF(Geometry!$C$103="global",Inputs!$F$183,0))</f>
        <v/>
      </c>
      <c r="F103" s="3">
        <f>IF(AND(Geometry!$C$103="hanging",Inputs!$I$183&lt;&gt;""),IFERROR(MATCH(Inputs!$I$183&amp;"",Geometry!$B$58:$B$137,0),0),0)</f>
        <v/>
      </c>
      <c r="G103" s="3">
        <f>IF(Geometry!$C$103="hanging",IF(Inputs!$J$183="",1,Inputs!$J$183),0)</f>
        <v/>
      </c>
      <c r="H103" s="3">
        <f>IF(Geometry!$C$103="hanging",IF(Geometry!$F$103&gt;0,INDEX(Geometry!$D$58:$D$137,Geometry!$F$103),0),Geometry!$D$103)</f>
        <v/>
      </c>
      <c r="I103" s="3">
        <f>IF(Geometry!$C$103="hanging",IF(Geometry!$F$103&gt;0,INDEX(Geometry!$E$58:$E$137,Geometry!$F$103)-Geometry!$G$103,0),Geometry!$E$103)</f>
        <v/>
      </c>
      <c r="J103" s="3">
        <f>IF(AND(Geometry!$B$26=1,Geometry!$A$103=1,Geometry!$B$103=Geometry!$B$20),1,0)</f>
        <v/>
      </c>
      <c r="K103" s="3">
        <f>Geometry!$H$103</f>
        <v/>
      </c>
      <c r="L103" s="3">
        <f>IF(Geometry!$J$103=1,Geometry!$B$25-Geometry!$B$19,Geometry!$I$103)</f>
        <v/>
      </c>
    </row>
    <row r="104">
      <c r="A104" s="3">
        <f>Inputs!$A$184</f>
        <v/>
      </c>
      <c r="B104" s="3">
        <f>IF(Geometry!$A$104=1,Inputs!$B$184&amp;"","")</f>
        <v/>
      </c>
      <c r="C104" s="3">
        <f>IF(Geometry!$A$104=1,Inputs!$D$184&amp;"","")</f>
        <v/>
      </c>
      <c r="D104" s="3">
        <f>IF(Geometry!$C$104="boom_local",Geometry!$B$17+Inputs!$G$184*Geometry!$B$14-Inputs!$H$184*Geometry!$B$15,IF(Geometry!$C$104="global",Inputs!$E$184,0))</f>
        <v/>
      </c>
      <c r="E104" s="3">
        <f>IF(Geometry!$C$104="boom_local",Geometry!$B$18+Inputs!$G$184*Geometry!$B$15+Inputs!$H$184*Geometry!$B$14,IF(Geometry!$C$104="global",Inputs!$F$184,0))</f>
        <v/>
      </c>
      <c r="F104" s="3">
        <f>IF(AND(Geometry!$C$104="hanging",Inputs!$I$184&lt;&gt;""),IFERROR(MATCH(Inputs!$I$184&amp;"",Geometry!$B$58:$B$137,0),0),0)</f>
        <v/>
      </c>
      <c r="G104" s="3">
        <f>IF(Geometry!$C$104="hanging",IF(Inputs!$J$184="",1,Inputs!$J$184),0)</f>
        <v/>
      </c>
      <c r="H104" s="3">
        <f>IF(Geometry!$C$104="hanging",IF(Geometry!$F$104&gt;0,INDEX(Geometry!$D$58:$D$137,Geometry!$F$104),0),Geometry!$D$104)</f>
        <v/>
      </c>
      <c r="I104" s="3">
        <f>IF(Geometry!$C$104="hanging",IF(Geometry!$F$104&gt;0,INDEX(Geometry!$E$58:$E$137,Geometry!$F$104)-Geometry!$G$104,0),Geometry!$E$104)</f>
        <v/>
      </c>
      <c r="J104" s="3">
        <f>IF(AND(Geometry!$B$26=1,Geometry!$A$104=1,Geometry!$B$104=Geometry!$B$20),1,0)</f>
        <v/>
      </c>
      <c r="K104" s="3">
        <f>Geometry!$H$104</f>
        <v/>
      </c>
      <c r="L104" s="3">
        <f>IF(Geometry!$J$104=1,Geometry!$B$25-Geometry!$B$19,Geometry!$I$104)</f>
        <v/>
      </c>
    </row>
    <row r="105">
      <c r="A105" s="3">
        <f>Inputs!$A$185</f>
        <v/>
      </c>
      <c r="B105" s="3">
        <f>IF(Geometry!$A$105=1,Inputs!$B$185&amp;"","")</f>
        <v/>
      </c>
      <c r="C105" s="3">
        <f>IF(Geometry!$A$105=1,Inputs!$D$185&amp;"","")</f>
        <v/>
      </c>
      <c r="D105" s="3">
        <f>IF(Geometry!$C$105="boom_local",Geometry!$B$17+Inputs!$G$185*Geometry!$B$14-Inputs!$H$185*Geometry!$B$15,IF(Geometry!$C$105="global",Inputs!$E$185,0))</f>
        <v/>
      </c>
      <c r="E105" s="3">
        <f>IF(Geometry!$C$105="boom_local",Geometry!$B$18+Inputs!$G$185*Geometry!$B$15+Inputs!$H$185*Geometry!$B$14,IF(Geometry!$C$105="global",Inputs!$F$185,0))</f>
        <v/>
      </c>
      <c r="F105" s="3">
        <f>IF(AND(Geometry!$C$105="hanging",Inputs!$I$185&lt;&gt;""),IFERROR(MATCH(Inputs!$I$185&amp;"",Geometry!$B$58:$B$137,0),0),0)</f>
        <v/>
      </c>
      <c r="G105" s="3">
        <f>IF(Geometry!$C$105="hanging",IF(Inputs!$J$185="",1,Inputs!$J$185),0)</f>
        <v/>
      </c>
      <c r="H105" s="3">
        <f>IF(Geometry!$C$105="hanging",IF(Geometry!$F$105&gt;0,INDEX(Geometry!$D$58:$D$137,Geometry!$F$105),0),Geometry!$D$105)</f>
        <v/>
      </c>
      <c r="I105" s="3">
        <f>IF(Geometry!$C$105="hanging",IF(Geometry!$F$105&gt;0,INDEX(Geometry!$E$58:$E$137,Geometry!$F$105)-Geometry!$G$105,0),Geometry!$E$105)</f>
        <v/>
      </c>
      <c r="J105" s="3">
        <f>IF(AND(Geometry!$B$26=1,Geometry!$A$105=1,Geometry!$B$105=Geometry!$B$20),1,0)</f>
        <v/>
      </c>
      <c r="K105" s="3">
        <f>Geometry!$H$105</f>
        <v/>
      </c>
      <c r="L105" s="3">
        <f>IF(Geometry!$J$105=1,Geometry!$B$25-Geometry!$B$19,Geometry!$I$105)</f>
        <v/>
      </c>
    </row>
    <row r="106">
      <c r="A106" s="3">
        <f>Inputs!$A$186</f>
        <v/>
      </c>
      <c r="B106" s="3">
        <f>IF(Geometry!$A$106=1,Inputs!$B$186&amp;"","")</f>
        <v/>
      </c>
      <c r="C106" s="3">
        <f>IF(Geometry!$A$106=1,Inputs!$D$186&amp;"","")</f>
        <v/>
      </c>
      <c r="D106" s="3">
        <f>IF(Geometry!$C$106="boom_local",Geometry!$B$17+Inputs!$G$186*Geometry!$B$14-Inputs!$H$186*Geometry!$B$15,IF(Geometry!$C$106="global",Inputs!$E$186,0))</f>
        <v/>
      </c>
      <c r="E106" s="3">
        <f>IF(Geometry!$C$106="boom_local",Geometry!$B$18+Inputs!$G$186*Geometry!$B$15+Inputs!$H$186*Geometry!$B$14,IF(Geometry!$C$106="global",Inputs!$F$186,0))</f>
        <v/>
      </c>
      <c r="F106" s="3">
        <f>IF(AND(Geometry!$C$106="hanging",Inputs!$I$186&lt;&gt;""),IFERROR(MATCH(Inputs!$I$186&amp;"",Geometry!$B$58:$B$137,0),0),0)</f>
        <v/>
      </c>
      <c r="G106" s="3">
        <f>IF(Geometry!$C$106="hanging",IF(Inputs!$J$186="",1,Inputs!$J$186),0)</f>
        <v/>
      </c>
      <c r="H106" s="3">
        <f>IF(Geometry!$C$106="hanging",IF(Geometry!$F$106&gt;0,INDEX(Geometry!$D$58:$D$137,Geometry!$F$106),0),Geometry!$D$106)</f>
        <v/>
      </c>
      <c r="I106" s="3">
        <f>IF(Geometry!$C$106="hanging",IF(Geometry!$F$106&gt;0,INDEX(Geometry!$E$58:$E$137,Geometry!$F$106)-Geometry!$G$106,0),Geometry!$E$106)</f>
        <v/>
      </c>
      <c r="J106" s="3">
        <f>IF(AND(Geometry!$B$26=1,Geometry!$A$106=1,Geometry!$B$106=Geometry!$B$20),1,0)</f>
        <v/>
      </c>
      <c r="K106" s="3">
        <f>Geometry!$H$106</f>
        <v/>
      </c>
      <c r="L106" s="3">
        <f>IF(Geometry!$J$106=1,Geometry!$B$25-Geometry!$B$19,Geometry!$I$106)</f>
        <v/>
      </c>
    </row>
    <row r="107">
      <c r="A107" s="3">
        <f>Inputs!$A$187</f>
        <v/>
      </c>
      <c r="B107" s="3">
        <f>IF(Geometry!$A$107=1,Inputs!$B$187&amp;"","")</f>
        <v/>
      </c>
      <c r="C107" s="3">
        <f>IF(Geometry!$A$107=1,Inputs!$D$187&amp;"","")</f>
        <v/>
      </c>
      <c r="D107" s="3">
        <f>IF(Geometry!$C$107="boom_local",Geometry!$B$17+Inputs!$G$187*Geometry!$B$14-Inputs!$H$187*Geometry!$B$15,IF(Geometry!$C$107="global",Inputs!$E$187,0))</f>
        <v/>
      </c>
      <c r="E107" s="3">
        <f>IF(Geometry!$C$107="boom_local",Geometry!$B$18+Inputs!$G$187*Geometry!$B$15+Inputs!$H$187*Geometry!$B$14,IF(Geometry!$C$107="global",Inputs!$F$187,0))</f>
        <v/>
      </c>
      <c r="F107" s="3">
        <f>IF(AND(Geometry!$C$107="hanging",Inputs!$I$187&lt;&gt;""),IFERROR(MATCH(Inputs!$I$187&amp;"",Geometry!$B$58:$B$137,0),0),0)</f>
        <v/>
      </c>
      <c r="G107" s="3">
        <f>IF(Geometry!$C$107="hanging",IF(Inputs!$J$187="",1,Inputs!$J$187),0)</f>
        <v/>
      </c>
      <c r="H107" s="3">
        <f>IF(Geometry!$C$107="hanging",IF(Geometry!$F$107&gt;0,INDEX(Geometry!$D$58:$D$137,Geometry!$F$107),0),Geometry!$D$107)</f>
        <v/>
      </c>
      <c r="I107" s="3">
        <f>IF(Geometry!$C$107="hanging",IF(Geometry!$F$107&gt;0,INDEX(Geometry!$E$58:$E$137,Geometry!$F$107)-Geometry!$G$107,0),Geometry!$E$107)</f>
        <v/>
      </c>
      <c r="J107" s="3">
        <f>IF(AND(Geometry!$B$26=1,Geometry!$A$107=1,Geometry!$B$107=Geometry!$B$20),1,0)</f>
        <v/>
      </c>
      <c r="K107" s="3">
        <f>Geometry!$H$107</f>
        <v/>
      </c>
      <c r="L107" s="3">
        <f>IF(Geometry!$J$107=1,Geometry!$B$25-Geometry!$B$19,Geometry!$I$107)</f>
        <v/>
      </c>
    </row>
    <row r="108">
      <c r="A108" s="3">
        <f>Inputs!$A$188</f>
        <v/>
      </c>
      <c r="B108" s="3">
        <f>IF(Geometry!$A$108=1,Inputs!$B$188&amp;"","")</f>
        <v/>
      </c>
      <c r="C108" s="3">
        <f>IF(Geometry!$A$108=1,Inputs!$D$188&amp;"","")</f>
        <v/>
      </c>
      <c r="D108" s="3">
        <f>IF(Geometry!$C$108="boom_local",Geometry!$B$17+Inputs!$G$188*Geometry!$B$14-Inputs!$H$188*Geometry!$B$15,IF(Geometry!$C$108="global",Inputs!$E$188,0))</f>
        <v/>
      </c>
      <c r="E108" s="3">
        <f>IF(Geometry!$C$108="boom_local",Geometry!$B$18+Inputs!$G$188*Geometry!$B$15+Inputs!$H$188*Geometry!$B$14,IF(Geometry!$C$108="global",Inputs!$F$188,0))</f>
        <v/>
      </c>
      <c r="F108" s="3">
        <f>IF(AND(Geometry!$C$108="hanging",Inputs!$I$188&lt;&gt;""),IFERROR(MATCH(Inputs!$I$188&amp;"",Geometry!$B$58:$B$137,0),0),0)</f>
        <v/>
      </c>
      <c r="G108" s="3">
        <f>IF(Geometry!$C$108="hanging",IF(Inputs!$J$188="",1,Inputs!$J$188),0)</f>
        <v/>
      </c>
      <c r="H108" s="3">
        <f>IF(Geometry!$C$108="hanging",IF(Geometry!$F$108&gt;0,INDEX(Geometry!$D$58:$D$137,Geometry!$F$108),0),Geometry!$D$108)</f>
        <v/>
      </c>
      <c r="I108" s="3">
        <f>IF(Geometry!$C$108="hanging",IF(Geometry!$F$108&gt;0,INDEX(Geometry!$E$58:$E$137,Geometry!$F$108)-Geometry!$G$108,0),Geometry!$E$108)</f>
        <v/>
      </c>
      <c r="J108" s="3">
        <f>IF(AND(Geometry!$B$26=1,Geometry!$A$108=1,Geometry!$B$108=Geometry!$B$20),1,0)</f>
        <v/>
      </c>
      <c r="K108" s="3">
        <f>Geometry!$H$108</f>
        <v/>
      </c>
      <c r="L108" s="3">
        <f>IF(Geometry!$J$108=1,Geometry!$B$25-Geometry!$B$19,Geometry!$I$108)</f>
        <v/>
      </c>
    </row>
    <row r="109">
      <c r="A109" s="3">
        <f>Inputs!$A$189</f>
        <v/>
      </c>
      <c r="B109" s="3">
        <f>IF(Geometry!$A$109=1,Inputs!$B$189&amp;"","")</f>
        <v/>
      </c>
      <c r="C109" s="3">
        <f>IF(Geometry!$A$109=1,Inputs!$D$189&amp;"","")</f>
        <v/>
      </c>
      <c r="D109" s="3">
        <f>IF(Geometry!$C$109="boom_local",Geometry!$B$17+Inputs!$G$189*Geometry!$B$14-Inputs!$H$189*Geometry!$B$15,IF(Geometry!$C$109="global",Inputs!$E$189,0))</f>
        <v/>
      </c>
      <c r="E109" s="3">
        <f>IF(Geometry!$C$109="boom_local",Geometry!$B$18+Inputs!$G$189*Geometry!$B$15+Inputs!$H$189*Geometry!$B$14,IF(Geometry!$C$109="global",Inputs!$F$189,0))</f>
        <v/>
      </c>
      <c r="F109" s="3">
        <f>IF(AND(Geometry!$C$109="hanging",Inputs!$I$189&lt;&gt;""),IFERROR(MATCH(Inputs!$I$189&amp;"",Geometry!$B$58:$B$137,0),0),0)</f>
        <v/>
      </c>
      <c r="G109" s="3">
        <f>IF(Geometry!$C$109="hanging",IF(Inputs!$J$189="",1,Inputs!$J$189),0)</f>
        <v/>
      </c>
      <c r="H109" s="3">
        <f>IF(Geometry!$C$109="hanging",IF(Geometry!$F$109&gt;0,INDEX(Geometry!$D$58:$D$137,Geometry!$F$109),0),Geometry!$D$109)</f>
        <v/>
      </c>
      <c r="I109" s="3">
        <f>IF(Geometry!$C$109="hanging",IF(Geometry!$F$109&gt;0,INDEX(Geometry!$E$58:$E$137,Geometry!$F$109)-Geometry!$G$109,0),Geometry!$E$109)</f>
        <v/>
      </c>
      <c r="J109" s="3">
        <f>IF(AND(Geometry!$B$26=1,Geometry!$A$109=1,Geometry!$B$109=Geometry!$B$20),1,0)</f>
        <v/>
      </c>
      <c r="K109" s="3">
        <f>Geometry!$H$109</f>
        <v/>
      </c>
      <c r="L109" s="3">
        <f>IF(Geometry!$J$109=1,Geometry!$B$25-Geometry!$B$19,Geometry!$I$109)</f>
        <v/>
      </c>
    </row>
    <row r="110">
      <c r="A110" s="3">
        <f>Inputs!$A$190</f>
        <v/>
      </c>
      <c r="B110" s="3">
        <f>IF(Geometry!$A$110=1,Inputs!$B$190&amp;"","")</f>
        <v/>
      </c>
      <c r="C110" s="3">
        <f>IF(Geometry!$A$110=1,Inputs!$D$190&amp;"","")</f>
        <v/>
      </c>
      <c r="D110" s="3">
        <f>IF(Geometry!$C$110="boom_local",Geometry!$B$17+Inputs!$G$190*Geometry!$B$14-Inputs!$H$190*Geometry!$B$15,IF(Geometry!$C$110="global",Inputs!$E$190,0))</f>
        <v/>
      </c>
      <c r="E110" s="3">
        <f>IF(Geometry!$C$110="boom_local",Geometry!$B$18+Inputs!$G$190*Geometry!$B$15+Inputs!$H$190*Geometry!$B$14,IF(Geometry!$C$110="global",Inputs!$F$190,0))</f>
        <v/>
      </c>
      <c r="F110" s="3">
        <f>IF(AND(Geometry!$C$110="hanging",Inputs!$I$190&lt;&gt;""),IFERROR(MATCH(Inputs!$I$190&amp;"",Geometry!$B$58:$B$137,0),0),0)</f>
        <v/>
      </c>
      <c r="G110" s="3">
        <f>IF(Geometry!$C$110="hanging",IF(Inputs!$J$190="",1,Inputs!$J$190),0)</f>
        <v/>
      </c>
      <c r="H110" s="3">
        <f>IF(Geometry!$C$110="hanging",IF(Geometry!$F$110&gt;0,INDEX(Geometry!$D$58:$D$137,Geometry!$F$110),0),Geometry!$D$110)</f>
        <v/>
      </c>
      <c r="I110" s="3">
        <f>IF(Geometry!$C$110="hanging",IF(Geometry!$F$110&gt;0,INDEX(Geometry!$E$58:$E$137,Geometry!$F$110)-Geometry!$G$110,0),Geometry!$E$110)</f>
        <v/>
      </c>
      <c r="J110" s="3">
        <f>IF(AND(Geometry!$B$26=1,Geometry!$A$110=1,Geometry!$B$110=Geometry!$B$20),1,0)</f>
        <v/>
      </c>
      <c r="K110" s="3">
        <f>Geometry!$H$110</f>
        <v/>
      </c>
      <c r="L110" s="3">
        <f>IF(Geometry!$J$110=1,Geometry!$B$25-Geometry!$B$19,Geometry!$I$110)</f>
        <v/>
      </c>
    </row>
    <row r="111">
      <c r="A111" s="3">
        <f>Inputs!$A$191</f>
        <v/>
      </c>
      <c r="B111" s="3">
        <f>IF(Geometry!$A$111=1,Inputs!$B$191&amp;"","")</f>
        <v/>
      </c>
      <c r="C111" s="3">
        <f>IF(Geometry!$A$111=1,Inputs!$D$191&amp;"","")</f>
        <v/>
      </c>
      <c r="D111" s="3">
        <f>IF(Geometry!$C$111="boom_local",Geometry!$B$17+Inputs!$G$191*Geometry!$B$14-Inputs!$H$191*Geometry!$B$15,IF(Geometry!$C$111="global",Inputs!$E$191,0))</f>
        <v/>
      </c>
      <c r="E111" s="3">
        <f>IF(Geometry!$C$111="boom_local",Geometry!$B$18+Inputs!$G$191*Geometry!$B$15+Inputs!$H$191*Geometry!$B$14,IF(Geometry!$C$111="global",Inputs!$F$191,0))</f>
        <v/>
      </c>
      <c r="F111" s="3">
        <f>IF(AND(Geometry!$C$111="hanging",Inputs!$I$191&lt;&gt;""),IFERROR(MATCH(Inputs!$I$191&amp;"",Geometry!$B$58:$B$137,0),0),0)</f>
        <v/>
      </c>
      <c r="G111" s="3">
        <f>IF(Geometry!$C$111="hanging",IF(Inputs!$J$191="",1,Inputs!$J$191),0)</f>
        <v/>
      </c>
      <c r="H111" s="3">
        <f>IF(Geometry!$C$111="hanging",IF(Geometry!$F$111&gt;0,INDEX(Geometry!$D$58:$D$137,Geometry!$F$111),0),Geometry!$D$111)</f>
        <v/>
      </c>
      <c r="I111" s="3">
        <f>IF(Geometry!$C$111="hanging",IF(Geometry!$F$111&gt;0,INDEX(Geometry!$E$58:$E$137,Geometry!$F$111)-Geometry!$G$111,0),Geometry!$E$111)</f>
        <v/>
      </c>
      <c r="J111" s="3">
        <f>IF(AND(Geometry!$B$26=1,Geometry!$A$111=1,Geometry!$B$111=Geometry!$B$20),1,0)</f>
        <v/>
      </c>
      <c r="K111" s="3">
        <f>Geometry!$H$111</f>
        <v/>
      </c>
      <c r="L111" s="3">
        <f>IF(Geometry!$J$111=1,Geometry!$B$25-Geometry!$B$19,Geometry!$I$111)</f>
        <v/>
      </c>
    </row>
    <row r="112">
      <c r="A112" s="3">
        <f>Inputs!$A$192</f>
        <v/>
      </c>
      <c r="B112" s="3">
        <f>IF(Geometry!$A$112=1,Inputs!$B$192&amp;"","")</f>
        <v/>
      </c>
      <c r="C112" s="3">
        <f>IF(Geometry!$A$112=1,Inputs!$D$192&amp;"","")</f>
        <v/>
      </c>
      <c r="D112" s="3">
        <f>IF(Geometry!$C$112="boom_local",Geometry!$B$17+Inputs!$G$192*Geometry!$B$14-Inputs!$H$192*Geometry!$B$15,IF(Geometry!$C$112="global",Inputs!$E$192,0))</f>
        <v/>
      </c>
      <c r="E112" s="3">
        <f>IF(Geometry!$C$112="boom_local",Geometry!$B$18+Inputs!$G$192*Geometry!$B$15+Inputs!$H$192*Geometry!$B$14,IF(Geometry!$C$112="global",Inputs!$F$192,0))</f>
        <v/>
      </c>
      <c r="F112" s="3">
        <f>IF(AND(Geometry!$C$112="hanging",Inputs!$I$192&lt;&gt;""),IFERROR(MATCH(Inputs!$I$192&amp;"",Geometry!$B$58:$B$137,0),0),0)</f>
        <v/>
      </c>
      <c r="G112" s="3">
        <f>IF(Geometry!$C$112="hanging",IF(Inputs!$J$192="",1,Inputs!$J$192),0)</f>
        <v/>
      </c>
      <c r="H112" s="3">
        <f>IF(Geometry!$C$112="hanging",IF(Geometry!$F$112&gt;0,INDEX(Geometry!$D$58:$D$137,Geometry!$F$112),0),Geometry!$D$112)</f>
        <v/>
      </c>
      <c r="I112" s="3">
        <f>IF(Geometry!$C$112="hanging",IF(Geometry!$F$112&gt;0,INDEX(Geometry!$E$58:$E$137,Geometry!$F$112)-Geometry!$G$112,0),Geometry!$E$112)</f>
        <v/>
      </c>
      <c r="J112" s="3">
        <f>IF(AND(Geometry!$B$26=1,Geometry!$A$112=1,Geometry!$B$112=Geometry!$B$20),1,0)</f>
        <v/>
      </c>
      <c r="K112" s="3">
        <f>Geometry!$H$112</f>
        <v/>
      </c>
      <c r="L112" s="3">
        <f>IF(Geometry!$J$112=1,Geometry!$B$25-Geometry!$B$19,Geometry!$I$112)</f>
        <v/>
      </c>
    </row>
    <row r="113">
      <c r="A113" s="3">
        <f>Inputs!$A$193</f>
        <v/>
      </c>
      <c r="B113" s="3">
        <f>IF(Geometry!$A$113=1,Inputs!$B$193&amp;"","")</f>
        <v/>
      </c>
      <c r="C113" s="3">
        <f>IF(Geometry!$A$113=1,Inputs!$D$193&amp;"","")</f>
        <v/>
      </c>
      <c r="D113" s="3">
        <f>IF(Geometry!$C$113="boom_local",Geometry!$B$17+Inputs!$G$193*Geometry!$B$14-Inputs!$H$193*Geometry!$B$15,IF(Geometry!$C$113="global",Inputs!$E$193,0))</f>
        <v/>
      </c>
      <c r="E113" s="3">
        <f>IF(Geometry!$C$113="boom_local",Geometry!$B$18+Inputs!$G$193*Geometry!$B$15+Inputs!$H$193*Geometry!$B$14,IF(Geometry!$C$113="global",Inputs!$F$193,0))</f>
        <v/>
      </c>
      <c r="F113" s="3">
        <f>IF(AND(Geometry!$C$113="hanging",Inputs!$I$193&lt;&gt;""),IFERROR(MATCH(Inputs!$I$193&amp;"",Geometry!$B$58:$B$137,0),0),0)</f>
        <v/>
      </c>
      <c r="G113" s="3">
        <f>IF(Geometry!$C$113="hanging",IF(Inputs!$J$193="",1,Inputs!$J$193),0)</f>
        <v/>
      </c>
      <c r="H113" s="3">
        <f>IF(Geometry!$C$113="hanging",IF(Geometry!$F$113&gt;0,INDEX(Geometry!$D$58:$D$137,Geometry!$F$113),0),Geometry!$D$113)</f>
        <v/>
      </c>
      <c r="I113" s="3">
        <f>IF(Geometry!$C$113="hanging",IF(Geometry!$F$113&gt;0,INDEX(Geometry!$E$58:$E$137,Geometry!$F$113)-Geometry!$G$113,0),Geometry!$E$113)</f>
        <v/>
      </c>
      <c r="J113" s="3">
        <f>IF(AND(Geometry!$B$26=1,Geometry!$A$113=1,Geometry!$B$113=Geometry!$B$20),1,0)</f>
        <v/>
      </c>
      <c r="K113" s="3">
        <f>Geometry!$H$113</f>
        <v/>
      </c>
      <c r="L113" s="3">
        <f>IF(Geometry!$J$113=1,Geometry!$B$25-Geometry!$B$19,Geometry!$I$113)</f>
        <v/>
      </c>
    </row>
    <row r="114">
      <c r="A114" s="3">
        <f>Inputs!$A$194</f>
        <v/>
      </c>
      <c r="B114" s="3">
        <f>IF(Geometry!$A$114=1,Inputs!$B$194&amp;"","")</f>
        <v/>
      </c>
      <c r="C114" s="3">
        <f>IF(Geometry!$A$114=1,Inputs!$D$194&amp;"","")</f>
        <v/>
      </c>
      <c r="D114" s="3">
        <f>IF(Geometry!$C$114="boom_local",Geometry!$B$17+Inputs!$G$194*Geometry!$B$14-Inputs!$H$194*Geometry!$B$15,IF(Geometry!$C$114="global",Inputs!$E$194,0))</f>
        <v/>
      </c>
      <c r="E114" s="3">
        <f>IF(Geometry!$C$114="boom_local",Geometry!$B$18+Inputs!$G$194*Geometry!$B$15+Inputs!$H$194*Geometry!$B$14,IF(Geometry!$C$114="global",Inputs!$F$194,0))</f>
        <v/>
      </c>
      <c r="F114" s="3">
        <f>IF(AND(Geometry!$C$114="hanging",Inputs!$I$194&lt;&gt;""),IFERROR(MATCH(Inputs!$I$194&amp;"",Geometry!$B$58:$B$137,0),0),0)</f>
        <v/>
      </c>
      <c r="G114" s="3">
        <f>IF(Geometry!$C$114="hanging",IF(Inputs!$J$194="",1,Inputs!$J$194),0)</f>
        <v/>
      </c>
      <c r="H114" s="3">
        <f>IF(Geometry!$C$114="hanging",IF(Geometry!$F$114&gt;0,INDEX(Geometry!$D$58:$D$137,Geometry!$F$114),0),Geometry!$D$114)</f>
        <v/>
      </c>
      <c r="I114" s="3">
        <f>IF(Geometry!$C$114="hanging",IF(Geometry!$F$114&gt;0,INDEX(Geometry!$E$58:$E$137,Geometry!$F$114)-Geometry!$G$114,0),Geometry!$E$114)</f>
        <v/>
      </c>
      <c r="J114" s="3">
        <f>IF(AND(Geometry!$B$26=1,Geometry!$A$114=1,Geometry!$B$114=Geometry!$B$20),1,0)</f>
        <v/>
      </c>
      <c r="K114" s="3">
        <f>Geometry!$H$114</f>
        <v/>
      </c>
      <c r="L114" s="3">
        <f>IF(Geometry!$J$114=1,Geometry!$B$25-Geometry!$B$19,Geometry!$I$114)</f>
        <v/>
      </c>
    </row>
    <row r="115">
      <c r="A115" s="3">
        <f>Inputs!$A$195</f>
        <v/>
      </c>
      <c r="B115" s="3">
        <f>IF(Geometry!$A$115=1,Inputs!$B$195&amp;"","")</f>
        <v/>
      </c>
      <c r="C115" s="3">
        <f>IF(Geometry!$A$115=1,Inputs!$D$195&amp;"","")</f>
        <v/>
      </c>
      <c r="D115" s="3">
        <f>IF(Geometry!$C$115="boom_local",Geometry!$B$17+Inputs!$G$195*Geometry!$B$14-Inputs!$H$195*Geometry!$B$15,IF(Geometry!$C$115="global",Inputs!$E$195,0))</f>
        <v/>
      </c>
      <c r="E115" s="3">
        <f>IF(Geometry!$C$115="boom_local",Geometry!$B$18+Inputs!$G$195*Geometry!$B$15+Inputs!$H$195*Geometry!$B$14,IF(Geometry!$C$115="global",Inputs!$F$195,0))</f>
        <v/>
      </c>
      <c r="F115" s="3">
        <f>IF(AND(Geometry!$C$115="hanging",Inputs!$I$195&lt;&gt;""),IFERROR(MATCH(Inputs!$I$195&amp;"",Geometry!$B$58:$B$137,0),0),0)</f>
        <v/>
      </c>
      <c r="G115" s="3">
        <f>IF(Geometry!$C$115="hanging",IF(Inputs!$J$195="",1,Inputs!$J$195),0)</f>
        <v/>
      </c>
      <c r="H115" s="3">
        <f>IF(Geometry!$C$115="hanging",IF(Geometry!$F$115&gt;0,INDEX(Geometry!$D$58:$D$137,Geometry!$F$115),0),Geometry!$D$115)</f>
        <v/>
      </c>
      <c r="I115" s="3">
        <f>IF(Geometry!$C$115="hanging",IF(Geometry!$F$115&gt;0,INDEX(Geometry!$E$58:$E$137,Geometry!$F$115)-Geometry!$G$115,0),Geometry!$E$115)</f>
        <v/>
      </c>
      <c r="J115" s="3">
        <f>IF(AND(Geometry!$B$26=1,Geometry!$A$115=1,Geometry!$B$115=Geometry!$B$20),1,0)</f>
        <v/>
      </c>
      <c r="K115" s="3">
        <f>Geometry!$H$115</f>
        <v/>
      </c>
      <c r="L115" s="3">
        <f>IF(Geometry!$J$115=1,Geometry!$B$25-Geometry!$B$19,Geometry!$I$115)</f>
        <v/>
      </c>
    </row>
    <row r="116">
      <c r="A116" s="3">
        <f>Inputs!$A$196</f>
        <v/>
      </c>
      <c r="B116" s="3">
        <f>IF(Geometry!$A$116=1,Inputs!$B$196&amp;"","")</f>
        <v/>
      </c>
      <c r="C116" s="3">
        <f>IF(Geometry!$A$116=1,Inputs!$D$196&amp;"","")</f>
        <v/>
      </c>
      <c r="D116" s="3">
        <f>IF(Geometry!$C$116="boom_local",Geometry!$B$17+Inputs!$G$196*Geometry!$B$14-Inputs!$H$196*Geometry!$B$15,IF(Geometry!$C$116="global",Inputs!$E$196,0))</f>
        <v/>
      </c>
      <c r="E116" s="3">
        <f>IF(Geometry!$C$116="boom_local",Geometry!$B$18+Inputs!$G$196*Geometry!$B$15+Inputs!$H$196*Geometry!$B$14,IF(Geometry!$C$116="global",Inputs!$F$196,0))</f>
        <v/>
      </c>
      <c r="F116" s="3">
        <f>IF(AND(Geometry!$C$116="hanging",Inputs!$I$196&lt;&gt;""),IFERROR(MATCH(Inputs!$I$196&amp;"",Geometry!$B$58:$B$137,0),0),0)</f>
        <v/>
      </c>
      <c r="G116" s="3">
        <f>IF(Geometry!$C$116="hanging",IF(Inputs!$J$196="",1,Inputs!$J$196),0)</f>
        <v/>
      </c>
      <c r="H116" s="3">
        <f>IF(Geometry!$C$116="hanging",IF(Geometry!$F$116&gt;0,INDEX(Geometry!$D$58:$D$137,Geometry!$F$116),0),Geometry!$D$116)</f>
        <v/>
      </c>
      <c r="I116" s="3">
        <f>IF(Geometry!$C$116="hanging",IF(Geometry!$F$116&gt;0,INDEX(Geometry!$E$58:$E$137,Geometry!$F$116)-Geometry!$G$116,0),Geometry!$E$116)</f>
        <v/>
      </c>
      <c r="J116" s="3">
        <f>IF(AND(Geometry!$B$26=1,Geometry!$A$116=1,Geometry!$B$116=Geometry!$B$20),1,0)</f>
        <v/>
      </c>
      <c r="K116" s="3">
        <f>Geometry!$H$116</f>
        <v/>
      </c>
      <c r="L116" s="3">
        <f>IF(Geometry!$J$116=1,Geometry!$B$25-Geometry!$B$19,Geometry!$I$116)</f>
        <v/>
      </c>
    </row>
    <row r="117">
      <c r="A117" s="3">
        <f>Inputs!$A$197</f>
        <v/>
      </c>
      <c r="B117" s="3">
        <f>IF(Geometry!$A$117=1,Inputs!$B$197&amp;"","")</f>
        <v/>
      </c>
      <c r="C117" s="3">
        <f>IF(Geometry!$A$117=1,Inputs!$D$197&amp;"","")</f>
        <v/>
      </c>
      <c r="D117" s="3">
        <f>IF(Geometry!$C$117="boom_local",Geometry!$B$17+Inputs!$G$197*Geometry!$B$14-Inputs!$H$197*Geometry!$B$15,IF(Geometry!$C$117="global",Inputs!$E$197,0))</f>
        <v/>
      </c>
      <c r="E117" s="3">
        <f>IF(Geometry!$C$117="boom_local",Geometry!$B$18+Inputs!$G$197*Geometry!$B$15+Inputs!$H$197*Geometry!$B$14,IF(Geometry!$C$117="global",Inputs!$F$197,0))</f>
        <v/>
      </c>
      <c r="F117" s="3">
        <f>IF(AND(Geometry!$C$117="hanging",Inputs!$I$197&lt;&gt;""),IFERROR(MATCH(Inputs!$I$197&amp;"",Geometry!$B$58:$B$137,0),0),0)</f>
        <v/>
      </c>
      <c r="G117" s="3">
        <f>IF(Geometry!$C$117="hanging",IF(Inputs!$J$197="",1,Inputs!$J$197),0)</f>
        <v/>
      </c>
      <c r="H117" s="3">
        <f>IF(Geometry!$C$117="hanging",IF(Geometry!$F$117&gt;0,INDEX(Geometry!$D$58:$D$137,Geometry!$F$117),0),Geometry!$D$117)</f>
        <v/>
      </c>
      <c r="I117" s="3">
        <f>IF(Geometry!$C$117="hanging",IF(Geometry!$F$117&gt;0,INDEX(Geometry!$E$58:$E$137,Geometry!$F$117)-Geometry!$G$117,0),Geometry!$E$117)</f>
        <v/>
      </c>
      <c r="J117" s="3">
        <f>IF(AND(Geometry!$B$26=1,Geometry!$A$117=1,Geometry!$B$117=Geometry!$B$20),1,0)</f>
        <v/>
      </c>
      <c r="K117" s="3">
        <f>Geometry!$H$117</f>
        <v/>
      </c>
      <c r="L117" s="3">
        <f>IF(Geometry!$J$117=1,Geometry!$B$25-Geometry!$B$19,Geometry!$I$117)</f>
        <v/>
      </c>
    </row>
    <row r="118">
      <c r="A118" s="3">
        <f>Inputs!$A$198</f>
        <v/>
      </c>
      <c r="B118" s="3">
        <f>IF(Geometry!$A$118=1,Inputs!$B$198&amp;"","")</f>
        <v/>
      </c>
      <c r="C118" s="3">
        <f>IF(Geometry!$A$118=1,Inputs!$D$198&amp;"","")</f>
        <v/>
      </c>
      <c r="D118" s="3">
        <f>IF(Geometry!$C$118="boom_local",Geometry!$B$17+Inputs!$G$198*Geometry!$B$14-Inputs!$H$198*Geometry!$B$15,IF(Geometry!$C$118="global",Inputs!$E$198,0))</f>
        <v/>
      </c>
      <c r="E118" s="3">
        <f>IF(Geometry!$C$118="boom_local",Geometry!$B$18+Inputs!$G$198*Geometry!$B$15+Inputs!$H$198*Geometry!$B$14,IF(Geometry!$C$118="global",Inputs!$F$198,0))</f>
        <v/>
      </c>
      <c r="F118" s="3">
        <f>IF(AND(Geometry!$C$118="hanging",Inputs!$I$198&lt;&gt;""),IFERROR(MATCH(Inputs!$I$198&amp;"",Geometry!$B$58:$B$137,0),0),0)</f>
        <v/>
      </c>
      <c r="G118" s="3">
        <f>IF(Geometry!$C$118="hanging",IF(Inputs!$J$198="",1,Inputs!$J$198),0)</f>
        <v/>
      </c>
      <c r="H118" s="3">
        <f>IF(Geometry!$C$118="hanging",IF(Geometry!$F$118&gt;0,INDEX(Geometry!$D$58:$D$137,Geometry!$F$118),0),Geometry!$D$118)</f>
        <v/>
      </c>
      <c r="I118" s="3">
        <f>IF(Geometry!$C$118="hanging",IF(Geometry!$F$118&gt;0,INDEX(Geometry!$E$58:$E$137,Geometry!$F$118)-Geometry!$G$118,0),Geometry!$E$118)</f>
        <v/>
      </c>
      <c r="J118" s="3">
        <f>IF(AND(Geometry!$B$26=1,Geometry!$A$118=1,Geometry!$B$118=Geometry!$B$20),1,0)</f>
        <v/>
      </c>
      <c r="K118" s="3">
        <f>Geometry!$H$118</f>
        <v/>
      </c>
      <c r="L118" s="3">
        <f>IF(Geometry!$J$118=1,Geometry!$B$25-Geometry!$B$19,Geometry!$I$118)</f>
        <v/>
      </c>
    </row>
    <row r="119">
      <c r="A119" s="3">
        <f>Inputs!$A$199</f>
        <v/>
      </c>
      <c r="B119" s="3">
        <f>IF(Geometry!$A$119=1,Inputs!$B$199&amp;"","")</f>
        <v/>
      </c>
      <c r="C119" s="3">
        <f>IF(Geometry!$A$119=1,Inputs!$D$199&amp;"","")</f>
        <v/>
      </c>
      <c r="D119" s="3">
        <f>IF(Geometry!$C$119="boom_local",Geometry!$B$17+Inputs!$G$199*Geometry!$B$14-Inputs!$H$199*Geometry!$B$15,IF(Geometry!$C$119="global",Inputs!$E$199,0))</f>
        <v/>
      </c>
      <c r="E119" s="3">
        <f>IF(Geometry!$C$119="boom_local",Geometry!$B$18+Inputs!$G$199*Geometry!$B$15+Inputs!$H$199*Geometry!$B$14,IF(Geometry!$C$119="global",Inputs!$F$199,0))</f>
        <v/>
      </c>
      <c r="F119" s="3">
        <f>IF(AND(Geometry!$C$119="hanging",Inputs!$I$199&lt;&gt;""),IFERROR(MATCH(Inputs!$I$199&amp;"",Geometry!$B$58:$B$137,0),0),0)</f>
        <v/>
      </c>
      <c r="G119" s="3">
        <f>IF(Geometry!$C$119="hanging",IF(Inputs!$J$199="",1,Inputs!$J$199),0)</f>
        <v/>
      </c>
      <c r="H119" s="3">
        <f>IF(Geometry!$C$119="hanging",IF(Geometry!$F$119&gt;0,INDEX(Geometry!$D$58:$D$137,Geometry!$F$119),0),Geometry!$D$119)</f>
        <v/>
      </c>
      <c r="I119" s="3">
        <f>IF(Geometry!$C$119="hanging",IF(Geometry!$F$119&gt;0,INDEX(Geometry!$E$58:$E$137,Geometry!$F$119)-Geometry!$G$119,0),Geometry!$E$119)</f>
        <v/>
      </c>
      <c r="J119" s="3">
        <f>IF(AND(Geometry!$B$26=1,Geometry!$A$119=1,Geometry!$B$119=Geometry!$B$20),1,0)</f>
        <v/>
      </c>
      <c r="K119" s="3">
        <f>Geometry!$H$119</f>
        <v/>
      </c>
      <c r="L119" s="3">
        <f>IF(Geometry!$J$119=1,Geometry!$B$25-Geometry!$B$19,Geometry!$I$119)</f>
        <v/>
      </c>
    </row>
    <row r="120">
      <c r="A120" s="3">
        <f>Inputs!$A$200</f>
        <v/>
      </c>
      <c r="B120" s="3">
        <f>IF(Geometry!$A$120=1,Inputs!$B$200&amp;"","")</f>
        <v/>
      </c>
      <c r="C120" s="3">
        <f>IF(Geometry!$A$120=1,Inputs!$D$200&amp;"","")</f>
        <v/>
      </c>
      <c r="D120" s="3">
        <f>IF(Geometry!$C$120="boom_local",Geometry!$B$17+Inputs!$G$200*Geometry!$B$14-Inputs!$H$200*Geometry!$B$15,IF(Geometry!$C$120="global",Inputs!$E$200,0))</f>
        <v/>
      </c>
      <c r="E120" s="3">
        <f>IF(Geometry!$C$120="boom_local",Geometry!$B$18+Inputs!$G$200*Geometry!$B$15+Inputs!$H$200*Geometry!$B$14,IF(Geometry!$C$120="global",Inputs!$F$200,0))</f>
        <v/>
      </c>
      <c r="F120" s="3">
        <f>IF(AND(Geometry!$C$120="hanging",Inputs!$I$200&lt;&gt;""),IFERROR(MATCH(Inputs!$I$200&amp;"",Geometry!$B$58:$B$137,0),0),0)</f>
        <v/>
      </c>
      <c r="G120" s="3">
        <f>IF(Geometry!$C$120="hanging",IF(Inputs!$J$200="",1,Inputs!$J$200),0)</f>
        <v/>
      </c>
      <c r="H120" s="3">
        <f>IF(Geometry!$C$120="hanging",IF(Geometry!$F$120&gt;0,INDEX(Geometry!$D$58:$D$137,Geometry!$F$120),0),Geometry!$D$120)</f>
        <v/>
      </c>
      <c r="I120" s="3">
        <f>IF(Geometry!$C$120="hanging",IF(Geometry!$F$120&gt;0,INDEX(Geometry!$E$58:$E$137,Geometry!$F$120)-Geometry!$G$120,0),Geometry!$E$120)</f>
        <v/>
      </c>
      <c r="J120" s="3">
        <f>IF(AND(Geometry!$B$26=1,Geometry!$A$120=1,Geometry!$B$120=Geometry!$B$20),1,0)</f>
        <v/>
      </c>
      <c r="K120" s="3">
        <f>Geometry!$H$120</f>
        <v/>
      </c>
      <c r="L120" s="3">
        <f>IF(Geometry!$J$120=1,Geometry!$B$25-Geometry!$B$19,Geometry!$I$120)</f>
        <v/>
      </c>
    </row>
    <row r="121">
      <c r="A121" s="3">
        <f>Inputs!$A$201</f>
        <v/>
      </c>
      <c r="B121" s="3">
        <f>IF(Geometry!$A$121=1,Inputs!$B$201&amp;"","")</f>
        <v/>
      </c>
      <c r="C121" s="3">
        <f>IF(Geometry!$A$121=1,Inputs!$D$201&amp;"","")</f>
        <v/>
      </c>
      <c r="D121" s="3">
        <f>IF(Geometry!$C$121="boom_local",Geometry!$B$17+Inputs!$G$201*Geometry!$B$14-Inputs!$H$201*Geometry!$B$15,IF(Geometry!$C$121="global",Inputs!$E$201,0))</f>
        <v/>
      </c>
      <c r="E121" s="3">
        <f>IF(Geometry!$C$121="boom_local",Geometry!$B$18+Inputs!$G$201*Geometry!$B$15+Inputs!$H$201*Geometry!$B$14,IF(Geometry!$C$121="global",Inputs!$F$201,0))</f>
        <v/>
      </c>
      <c r="F121" s="3">
        <f>IF(AND(Geometry!$C$121="hanging",Inputs!$I$201&lt;&gt;""),IFERROR(MATCH(Inputs!$I$201&amp;"",Geometry!$B$58:$B$137,0),0),0)</f>
        <v/>
      </c>
      <c r="G121" s="3">
        <f>IF(Geometry!$C$121="hanging",IF(Inputs!$J$201="",1,Inputs!$J$201),0)</f>
        <v/>
      </c>
      <c r="H121" s="3">
        <f>IF(Geometry!$C$121="hanging",IF(Geometry!$F$121&gt;0,INDEX(Geometry!$D$58:$D$137,Geometry!$F$121),0),Geometry!$D$121)</f>
        <v/>
      </c>
      <c r="I121" s="3">
        <f>IF(Geometry!$C$121="hanging",IF(Geometry!$F$121&gt;0,INDEX(Geometry!$E$58:$E$137,Geometry!$F$121)-Geometry!$G$121,0),Geometry!$E$121)</f>
        <v/>
      </c>
      <c r="J121" s="3">
        <f>IF(AND(Geometry!$B$26=1,Geometry!$A$121=1,Geometry!$B$121=Geometry!$B$20),1,0)</f>
        <v/>
      </c>
      <c r="K121" s="3">
        <f>Geometry!$H$121</f>
        <v/>
      </c>
      <c r="L121" s="3">
        <f>IF(Geometry!$J$121=1,Geometry!$B$25-Geometry!$B$19,Geometry!$I$121)</f>
        <v/>
      </c>
    </row>
    <row r="122">
      <c r="A122" s="3">
        <f>Inputs!$A$202</f>
        <v/>
      </c>
      <c r="B122" s="3">
        <f>IF(Geometry!$A$122=1,Inputs!$B$202&amp;"","")</f>
        <v/>
      </c>
      <c r="C122" s="3">
        <f>IF(Geometry!$A$122=1,Inputs!$D$202&amp;"","")</f>
        <v/>
      </c>
      <c r="D122" s="3">
        <f>IF(Geometry!$C$122="boom_local",Geometry!$B$17+Inputs!$G$202*Geometry!$B$14-Inputs!$H$202*Geometry!$B$15,IF(Geometry!$C$122="global",Inputs!$E$202,0))</f>
        <v/>
      </c>
      <c r="E122" s="3">
        <f>IF(Geometry!$C$122="boom_local",Geometry!$B$18+Inputs!$G$202*Geometry!$B$15+Inputs!$H$202*Geometry!$B$14,IF(Geometry!$C$122="global",Inputs!$F$202,0))</f>
        <v/>
      </c>
      <c r="F122" s="3">
        <f>IF(AND(Geometry!$C$122="hanging",Inputs!$I$202&lt;&gt;""),IFERROR(MATCH(Inputs!$I$202&amp;"",Geometry!$B$58:$B$137,0),0),0)</f>
        <v/>
      </c>
      <c r="G122" s="3">
        <f>IF(Geometry!$C$122="hanging",IF(Inputs!$J$202="",1,Inputs!$J$202),0)</f>
        <v/>
      </c>
      <c r="H122" s="3">
        <f>IF(Geometry!$C$122="hanging",IF(Geometry!$F$122&gt;0,INDEX(Geometry!$D$58:$D$137,Geometry!$F$122),0),Geometry!$D$122)</f>
        <v/>
      </c>
      <c r="I122" s="3">
        <f>IF(Geometry!$C$122="hanging",IF(Geometry!$F$122&gt;0,INDEX(Geometry!$E$58:$E$137,Geometry!$F$122)-Geometry!$G$122,0),Geometry!$E$122)</f>
        <v/>
      </c>
      <c r="J122" s="3">
        <f>IF(AND(Geometry!$B$26=1,Geometry!$A$122=1,Geometry!$B$122=Geometry!$B$20),1,0)</f>
        <v/>
      </c>
      <c r="K122" s="3">
        <f>Geometry!$H$122</f>
        <v/>
      </c>
      <c r="L122" s="3">
        <f>IF(Geometry!$J$122=1,Geometry!$B$25-Geometry!$B$19,Geometry!$I$122)</f>
        <v/>
      </c>
    </row>
    <row r="123">
      <c r="A123" s="3">
        <f>Inputs!$A$203</f>
        <v/>
      </c>
      <c r="B123" s="3">
        <f>IF(Geometry!$A$123=1,Inputs!$B$203&amp;"","")</f>
        <v/>
      </c>
      <c r="C123" s="3">
        <f>IF(Geometry!$A$123=1,Inputs!$D$203&amp;"","")</f>
        <v/>
      </c>
      <c r="D123" s="3">
        <f>IF(Geometry!$C$123="boom_local",Geometry!$B$17+Inputs!$G$203*Geometry!$B$14-Inputs!$H$203*Geometry!$B$15,IF(Geometry!$C$123="global",Inputs!$E$203,0))</f>
        <v/>
      </c>
      <c r="E123" s="3">
        <f>IF(Geometry!$C$123="boom_local",Geometry!$B$18+Inputs!$G$203*Geometry!$B$15+Inputs!$H$203*Geometry!$B$14,IF(Geometry!$C$123="global",Inputs!$F$203,0))</f>
        <v/>
      </c>
      <c r="F123" s="3">
        <f>IF(AND(Geometry!$C$123="hanging",Inputs!$I$203&lt;&gt;""),IFERROR(MATCH(Inputs!$I$203&amp;"",Geometry!$B$58:$B$137,0),0),0)</f>
        <v/>
      </c>
      <c r="G123" s="3">
        <f>IF(Geometry!$C$123="hanging",IF(Inputs!$J$203="",1,Inputs!$J$203),0)</f>
        <v/>
      </c>
      <c r="H123" s="3">
        <f>IF(Geometry!$C$123="hanging",IF(Geometry!$F$123&gt;0,INDEX(Geometry!$D$58:$D$137,Geometry!$F$123),0),Geometry!$D$123)</f>
        <v/>
      </c>
      <c r="I123" s="3">
        <f>IF(Geometry!$C$123="hanging",IF(Geometry!$F$123&gt;0,INDEX(Geometry!$E$58:$E$137,Geometry!$F$123)-Geometry!$G$123,0),Geometry!$E$123)</f>
        <v/>
      </c>
      <c r="J123" s="3">
        <f>IF(AND(Geometry!$B$26=1,Geometry!$A$123=1,Geometry!$B$123=Geometry!$B$20),1,0)</f>
        <v/>
      </c>
      <c r="K123" s="3">
        <f>Geometry!$H$123</f>
        <v/>
      </c>
      <c r="L123" s="3">
        <f>IF(Geometry!$J$123=1,Geometry!$B$25-Geometry!$B$19,Geometry!$I$123)</f>
        <v/>
      </c>
    </row>
    <row r="124">
      <c r="A124" s="3">
        <f>Inputs!$A$204</f>
        <v/>
      </c>
      <c r="B124" s="3">
        <f>IF(Geometry!$A$124=1,Inputs!$B$204&amp;"","")</f>
        <v/>
      </c>
      <c r="C124" s="3">
        <f>IF(Geometry!$A$124=1,Inputs!$D$204&amp;"","")</f>
        <v/>
      </c>
      <c r="D124" s="3">
        <f>IF(Geometry!$C$124="boom_local",Geometry!$B$17+Inputs!$G$204*Geometry!$B$14-Inputs!$H$204*Geometry!$B$15,IF(Geometry!$C$124="global",Inputs!$E$204,0))</f>
        <v/>
      </c>
      <c r="E124" s="3">
        <f>IF(Geometry!$C$124="boom_local",Geometry!$B$18+Inputs!$G$204*Geometry!$B$15+Inputs!$H$204*Geometry!$B$14,IF(Geometry!$C$124="global",Inputs!$F$204,0))</f>
        <v/>
      </c>
      <c r="F124" s="3">
        <f>IF(AND(Geometry!$C$124="hanging",Inputs!$I$204&lt;&gt;""),IFERROR(MATCH(Inputs!$I$204&amp;"",Geometry!$B$58:$B$137,0),0),0)</f>
        <v/>
      </c>
      <c r="G124" s="3">
        <f>IF(Geometry!$C$124="hanging",IF(Inputs!$J$204="",1,Inputs!$J$204),0)</f>
        <v/>
      </c>
      <c r="H124" s="3">
        <f>IF(Geometry!$C$124="hanging",IF(Geometry!$F$124&gt;0,INDEX(Geometry!$D$58:$D$137,Geometry!$F$124),0),Geometry!$D$124)</f>
        <v/>
      </c>
      <c r="I124" s="3">
        <f>IF(Geometry!$C$124="hanging",IF(Geometry!$F$124&gt;0,INDEX(Geometry!$E$58:$E$137,Geometry!$F$124)-Geometry!$G$124,0),Geometry!$E$124)</f>
        <v/>
      </c>
      <c r="J124" s="3">
        <f>IF(AND(Geometry!$B$26=1,Geometry!$A$124=1,Geometry!$B$124=Geometry!$B$20),1,0)</f>
        <v/>
      </c>
      <c r="K124" s="3">
        <f>Geometry!$H$124</f>
        <v/>
      </c>
      <c r="L124" s="3">
        <f>IF(Geometry!$J$124=1,Geometry!$B$25-Geometry!$B$19,Geometry!$I$124)</f>
        <v/>
      </c>
    </row>
    <row r="125">
      <c r="A125" s="3">
        <f>Inputs!$A$205</f>
        <v/>
      </c>
      <c r="B125" s="3">
        <f>IF(Geometry!$A$125=1,Inputs!$B$205&amp;"","")</f>
        <v/>
      </c>
      <c r="C125" s="3">
        <f>IF(Geometry!$A$125=1,Inputs!$D$205&amp;"","")</f>
        <v/>
      </c>
      <c r="D125" s="3">
        <f>IF(Geometry!$C$125="boom_local",Geometry!$B$17+Inputs!$G$205*Geometry!$B$14-Inputs!$H$205*Geometry!$B$15,IF(Geometry!$C$125="global",Inputs!$E$205,0))</f>
        <v/>
      </c>
      <c r="E125" s="3">
        <f>IF(Geometry!$C$125="boom_local",Geometry!$B$18+Inputs!$G$205*Geometry!$B$15+Inputs!$H$205*Geometry!$B$14,IF(Geometry!$C$125="global",Inputs!$F$205,0))</f>
        <v/>
      </c>
      <c r="F125" s="3">
        <f>IF(AND(Geometry!$C$125="hanging",Inputs!$I$205&lt;&gt;""),IFERROR(MATCH(Inputs!$I$205&amp;"",Geometry!$B$58:$B$137,0),0),0)</f>
        <v/>
      </c>
      <c r="G125" s="3">
        <f>IF(Geometry!$C$125="hanging",IF(Inputs!$J$205="",1,Inputs!$J$205),0)</f>
        <v/>
      </c>
      <c r="H125" s="3">
        <f>IF(Geometry!$C$125="hanging",IF(Geometry!$F$125&gt;0,INDEX(Geometry!$D$58:$D$137,Geometry!$F$125),0),Geometry!$D$125)</f>
        <v/>
      </c>
      <c r="I125" s="3">
        <f>IF(Geometry!$C$125="hanging",IF(Geometry!$F$125&gt;0,INDEX(Geometry!$E$58:$E$137,Geometry!$F$125)-Geometry!$G$125,0),Geometry!$E$125)</f>
        <v/>
      </c>
      <c r="J125" s="3">
        <f>IF(AND(Geometry!$B$26=1,Geometry!$A$125=1,Geometry!$B$125=Geometry!$B$20),1,0)</f>
        <v/>
      </c>
      <c r="K125" s="3">
        <f>Geometry!$H$125</f>
        <v/>
      </c>
      <c r="L125" s="3">
        <f>IF(Geometry!$J$125=1,Geometry!$B$25-Geometry!$B$19,Geometry!$I$125)</f>
        <v/>
      </c>
    </row>
    <row r="126">
      <c r="A126" s="3">
        <f>Inputs!$A$206</f>
        <v/>
      </c>
      <c r="B126" s="3">
        <f>IF(Geometry!$A$126=1,Inputs!$B$206&amp;"","")</f>
        <v/>
      </c>
      <c r="C126" s="3">
        <f>IF(Geometry!$A$126=1,Inputs!$D$206&amp;"","")</f>
        <v/>
      </c>
      <c r="D126" s="3">
        <f>IF(Geometry!$C$126="boom_local",Geometry!$B$17+Inputs!$G$206*Geometry!$B$14-Inputs!$H$206*Geometry!$B$15,IF(Geometry!$C$126="global",Inputs!$E$206,0))</f>
        <v/>
      </c>
      <c r="E126" s="3">
        <f>IF(Geometry!$C$126="boom_local",Geometry!$B$18+Inputs!$G$206*Geometry!$B$15+Inputs!$H$206*Geometry!$B$14,IF(Geometry!$C$126="global",Inputs!$F$206,0))</f>
        <v/>
      </c>
      <c r="F126" s="3">
        <f>IF(AND(Geometry!$C$126="hanging",Inputs!$I$206&lt;&gt;""),IFERROR(MATCH(Inputs!$I$206&amp;"",Geometry!$B$58:$B$137,0),0),0)</f>
        <v/>
      </c>
      <c r="G126" s="3">
        <f>IF(Geometry!$C$126="hanging",IF(Inputs!$J$206="",1,Inputs!$J$206),0)</f>
        <v/>
      </c>
      <c r="H126" s="3">
        <f>IF(Geometry!$C$126="hanging",IF(Geometry!$F$126&gt;0,INDEX(Geometry!$D$58:$D$137,Geometry!$F$126),0),Geometry!$D$126)</f>
        <v/>
      </c>
      <c r="I126" s="3">
        <f>IF(Geometry!$C$126="hanging",IF(Geometry!$F$126&gt;0,INDEX(Geometry!$E$58:$E$137,Geometry!$F$126)-Geometry!$G$126,0),Geometry!$E$126)</f>
        <v/>
      </c>
      <c r="J126" s="3">
        <f>IF(AND(Geometry!$B$26=1,Geometry!$A$126=1,Geometry!$B$126=Geometry!$B$20),1,0)</f>
        <v/>
      </c>
      <c r="K126" s="3">
        <f>Geometry!$H$126</f>
        <v/>
      </c>
      <c r="L126" s="3">
        <f>IF(Geometry!$J$126=1,Geometry!$B$25-Geometry!$B$19,Geometry!$I$126)</f>
        <v/>
      </c>
    </row>
    <row r="127">
      <c r="A127" s="3">
        <f>Inputs!$A$207</f>
        <v/>
      </c>
      <c r="B127" s="3">
        <f>IF(Geometry!$A$127=1,Inputs!$B$207&amp;"","")</f>
        <v/>
      </c>
      <c r="C127" s="3">
        <f>IF(Geometry!$A$127=1,Inputs!$D$207&amp;"","")</f>
        <v/>
      </c>
      <c r="D127" s="3">
        <f>IF(Geometry!$C$127="boom_local",Geometry!$B$17+Inputs!$G$207*Geometry!$B$14-Inputs!$H$207*Geometry!$B$15,IF(Geometry!$C$127="global",Inputs!$E$207,0))</f>
        <v/>
      </c>
      <c r="E127" s="3">
        <f>IF(Geometry!$C$127="boom_local",Geometry!$B$18+Inputs!$G$207*Geometry!$B$15+Inputs!$H$207*Geometry!$B$14,IF(Geometry!$C$127="global",Inputs!$F$207,0))</f>
        <v/>
      </c>
      <c r="F127" s="3">
        <f>IF(AND(Geometry!$C$127="hanging",Inputs!$I$207&lt;&gt;""),IFERROR(MATCH(Inputs!$I$207&amp;"",Geometry!$B$58:$B$137,0),0),0)</f>
        <v/>
      </c>
      <c r="G127" s="3">
        <f>IF(Geometry!$C$127="hanging",IF(Inputs!$J$207="",1,Inputs!$J$207),0)</f>
        <v/>
      </c>
      <c r="H127" s="3">
        <f>IF(Geometry!$C$127="hanging",IF(Geometry!$F$127&gt;0,INDEX(Geometry!$D$58:$D$137,Geometry!$F$127),0),Geometry!$D$127)</f>
        <v/>
      </c>
      <c r="I127" s="3">
        <f>IF(Geometry!$C$127="hanging",IF(Geometry!$F$127&gt;0,INDEX(Geometry!$E$58:$E$137,Geometry!$F$127)-Geometry!$G$127,0),Geometry!$E$127)</f>
        <v/>
      </c>
      <c r="J127" s="3">
        <f>IF(AND(Geometry!$B$26=1,Geometry!$A$127=1,Geometry!$B$127=Geometry!$B$20),1,0)</f>
        <v/>
      </c>
      <c r="K127" s="3">
        <f>Geometry!$H$127</f>
        <v/>
      </c>
      <c r="L127" s="3">
        <f>IF(Geometry!$J$127=1,Geometry!$B$25-Geometry!$B$19,Geometry!$I$127)</f>
        <v/>
      </c>
    </row>
    <row r="128">
      <c r="A128" s="3">
        <f>Inputs!$A$208</f>
        <v/>
      </c>
      <c r="B128" s="3">
        <f>IF(Geometry!$A$128=1,Inputs!$B$208&amp;"","")</f>
        <v/>
      </c>
      <c r="C128" s="3">
        <f>IF(Geometry!$A$128=1,Inputs!$D$208&amp;"","")</f>
        <v/>
      </c>
      <c r="D128" s="3">
        <f>IF(Geometry!$C$128="boom_local",Geometry!$B$17+Inputs!$G$208*Geometry!$B$14-Inputs!$H$208*Geometry!$B$15,IF(Geometry!$C$128="global",Inputs!$E$208,0))</f>
        <v/>
      </c>
      <c r="E128" s="3">
        <f>IF(Geometry!$C$128="boom_local",Geometry!$B$18+Inputs!$G$208*Geometry!$B$15+Inputs!$H$208*Geometry!$B$14,IF(Geometry!$C$128="global",Inputs!$F$208,0))</f>
        <v/>
      </c>
      <c r="F128" s="3">
        <f>IF(AND(Geometry!$C$128="hanging",Inputs!$I$208&lt;&gt;""),IFERROR(MATCH(Inputs!$I$208&amp;"",Geometry!$B$58:$B$137,0),0),0)</f>
        <v/>
      </c>
      <c r="G128" s="3">
        <f>IF(Geometry!$C$128="hanging",IF(Inputs!$J$208="",1,Inputs!$J$208),0)</f>
        <v/>
      </c>
      <c r="H128" s="3">
        <f>IF(Geometry!$C$128="hanging",IF(Geometry!$F$128&gt;0,INDEX(Geometry!$D$58:$D$137,Geometry!$F$128),0),Geometry!$D$128)</f>
        <v/>
      </c>
      <c r="I128" s="3">
        <f>IF(Geometry!$C$128="hanging",IF(Geometry!$F$128&gt;0,INDEX(Geometry!$E$58:$E$137,Geometry!$F$128)-Geometry!$G$128,0),Geometry!$E$128)</f>
        <v/>
      </c>
      <c r="J128" s="3">
        <f>IF(AND(Geometry!$B$26=1,Geometry!$A$128=1,Geometry!$B$128=Geometry!$B$20),1,0)</f>
        <v/>
      </c>
      <c r="K128" s="3">
        <f>Geometry!$H$128</f>
        <v/>
      </c>
      <c r="L128" s="3">
        <f>IF(Geometry!$J$128=1,Geometry!$B$25-Geometry!$B$19,Geometry!$I$128)</f>
        <v/>
      </c>
    </row>
    <row r="129">
      <c r="A129" s="3">
        <f>Inputs!$A$209</f>
        <v/>
      </c>
      <c r="B129" s="3">
        <f>IF(Geometry!$A$129=1,Inputs!$B$209&amp;"","")</f>
        <v/>
      </c>
      <c r="C129" s="3">
        <f>IF(Geometry!$A$129=1,Inputs!$D$209&amp;"","")</f>
        <v/>
      </c>
      <c r="D129" s="3">
        <f>IF(Geometry!$C$129="boom_local",Geometry!$B$17+Inputs!$G$209*Geometry!$B$14-Inputs!$H$209*Geometry!$B$15,IF(Geometry!$C$129="global",Inputs!$E$209,0))</f>
        <v/>
      </c>
      <c r="E129" s="3">
        <f>IF(Geometry!$C$129="boom_local",Geometry!$B$18+Inputs!$G$209*Geometry!$B$15+Inputs!$H$209*Geometry!$B$14,IF(Geometry!$C$129="global",Inputs!$F$209,0))</f>
        <v/>
      </c>
      <c r="F129" s="3">
        <f>IF(AND(Geometry!$C$129="hanging",Inputs!$I$209&lt;&gt;""),IFERROR(MATCH(Inputs!$I$209&amp;"",Geometry!$B$58:$B$137,0),0),0)</f>
        <v/>
      </c>
      <c r="G129" s="3">
        <f>IF(Geometry!$C$129="hanging",IF(Inputs!$J$209="",1,Inputs!$J$209),0)</f>
        <v/>
      </c>
      <c r="H129" s="3">
        <f>IF(Geometry!$C$129="hanging",IF(Geometry!$F$129&gt;0,INDEX(Geometry!$D$58:$D$137,Geometry!$F$129),0),Geometry!$D$129)</f>
        <v/>
      </c>
      <c r="I129" s="3">
        <f>IF(Geometry!$C$129="hanging",IF(Geometry!$F$129&gt;0,INDEX(Geometry!$E$58:$E$137,Geometry!$F$129)-Geometry!$G$129,0),Geometry!$E$129)</f>
        <v/>
      </c>
      <c r="J129" s="3">
        <f>IF(AND(Geometry!$B$26=1,Geometry!$A$129=1,Geometry!$B$129=Geometry!$B$20),1,0)</f>
        <v/>
      </c>
      <c r="K129" s="3">
        <f>Geometry!$H$129</f>
        <v/>
      </c>
      <c r="L129" s="3">
        <f>IF(Geometry!$J$129=1,Geometry!$B$25-Geometry!$B$19,Geometry!$I$129)</f>
        <v/>
      </c>
    </row>
    <row r="130">
      <c r="A130" s="3">
        <f>Inputs!$A$210</f>
        <v/>
      </c>
      <c r="B130" s="3">
        <f>IF(Geometry!$A$130=1,Inputs!$B$210&amp;"","")</f>
        <v/>
      </c>
      <c r="C130" s="3">
        <f>IF(Geometry!$A$130=1,Inputs!$D$210&amp;"","")</f>
        <v/>
      </c>
      <c r="D130" s="3">
        <f>IF(Geometry!$C$130="boom_local",Geometry!$B$17+Inputs!$G$210*Geometry!$B$14-Inputs!$H$210*Geometry!$B$15,IF(Geometry!$C$130="global",Inputs!$E$210,0))</f>
        <v/>
      </c>
      <c r="E130" s="3">
        <f>IF(Geometry!$C$130="boom_local",Geometry!$B$18+Inputs!$G$210*Geometry!$B$15+Inputs!$H$210*Geometry!$B$14,IF(Geometry!$C$130="global",Inputs!$F$210,0))</f>
        <v/>
      </c>
      <c r="F130" s="3">
        <f>IF(AND(Geometry!$C$130="hanging",Inputs!$I$210&lt;&gt;""),IFERROR(MATCH(Inputs!$I$210&amp;"",Geometry!$B$58:$B$137,0),0),0)</f>
        <v/>
      </c>
      <c r="G130" s="3">
        <f>IF(Geometry!$C$130="hanging",IF(Inputs!$J$210="",1,Inputs!$J$210),0)</f>
        <v/>
      </c>
      <c r="H130" s="3">
        <f>IF(Geometry!$C$130="hanging",IF(Geometry!$F$130&gt;0,INDEX(Geometry!$D$58:$D$137,Geometry!$F$130),0),Geometry!$D$130)</f>
        <v/>
      </c>
      <c r="I130" s="3">
        <f>IF(Geometry!$C$130="hanging",IF(Geometry!$F$130&gt;0,INDEX(Geometry!$E$58:$E$137,Geometry!$F$130)-Geometry!$G$130,0),Geometry!$E$130)</f>
        <v/>
      </c>
      <c r="J130" s="3">
        <f>IF(AND(Geometry!$B$26=1,Geometry!$A$130=1,Geometry!$B$130=Geometry!$B$20),1,0)</f>
        <v/>
      </c>
      <c r="K130" s="3">
        <f>Geometry!$H$130</f>
        <v/>
      </c>
      <c r="L130" s="3">
        <f>IF(Geometry!$J$130=1,Geometry!$B$25-Geometry!$B$19,Geometry!$I$130)</f>
        <v/>
      </c>
    </row>
    <row r="131">
      <c r="A131" s="3">
        <f>Inputs!$A$211</f>
        <v/>
      </c>
      <c r="B131" s="3">
        <f>IF(Geometry!$A$131=1,Inputs!$B$211&amp;"","")</f>
        <v/>
      </c>
      <c r="C131" s="3">
        <f>IF(Geometry!$A$131=1,Inputs!$D$211&amp;"","")</f>
        <v/>
      </c>
      <c r="D131" s="3">
        <f>IF(Geometry!$C$131="boom_local",Geometry!$B$17+Inputs!$G$211*Geometry!$B$14-Inputs!$H$211*Geometry!$B$15,IF(Geometry!$C$131="global",Inputs!$E$211,0))</f>
        <v/>
      </c>
      <c r="E131" s="3">
        <f>IF(Geometry!$C$131="boom_local",Geometry!$B$18+Inputs!$G$211*Geometry!$B$15+Inputs!$H$211*Geometry!$B$14,IF(Geometry!$C$131="global",Inputs!$F$211,0))</f>
        <v/>
      </c>
      <c r="F131" s="3">
        <f>IF(AND(Geometry!$C$131="hanging",Inputs!$I$211&lt;&gt;""),IFERROR(MATCH(Inputs!$I$211&amp;"",Geometry!$B$58:$B$137,0),0),0)</f>
        <v/>
      </c>
      <c r="G131" s="3">
        <f>IF(Geometry!$C$131="hanging",IF(Inputs!$J$211="",1,Inputs!$J$211),0)</f>
        <v/>
      </c>
      <c r="H131" s="3">
        <f>IF(Geometry!$C$131="hanging",IF(Geometry!$F$131&gt;0,INDEX(Geometry!$D$58:$D$137,Geometry!$F$131),0),Geometry!$D$131)</f>
        <v/>
      </c>
      <c r="I131" s="3">
        <f>IF(Geometry!$C$131="hanging",IF(Geometry!$F$131&gt;0,INDEX(Geometry!$E$58:$E$137,Geometry!$F$131)-Geometry!$G$131,0),Geometry!$E$131)</f>
        <v/>
      </c>
      <c r="J131" s="3">
        <f>IF(AND(Geometry!$B$26=1,Geometry!$A$131=1,Geometry!$B$131=Geometry!$B$20),1,0)</f>
        <v/>
      </c>
      <c r="K131" s="3">
        <f>Geometry!$H$131</f>
        <v/>
      </c>
      <c r="L131" s="3">
        <f>IF(Geometry!$J$131=1,Geometry!$B$25-Geometry!$B$19,Geometry!$I$131)</f>
        <v/>
      </c>
    </row>
    <row r="132">
      <c r="A132" s="3">
        <f>Inputs!$A$212</f>
        <v/>
      </c>
      <c r="B132" s="3">
        <f>IF(Geometry!$A$132=1,Inputs!$B$212&amp;"","")</f>
        <v/>
      </c>
      <c r="C132" s="3">
        <f>IF(Geometry!$A$132=1,Inputs!$D$212&amp;"","")</f>
        <v/>
      </c>
      <c r="D132" s="3">
        <f>IF(Geometry!$C$132="boom_local",Geometry!$B$17+Inputs!$G$212*Geometry!$B$14-Inputs!$H$212*Geometry!$B$15,IF(Geometry!$C$132="global",Inputs!$E$212,0))</f>
        <v/>
      </c>
      <c r="E132" s="3">
        <f>IF(Geometry!$C$132="boom_local",Geometry!$B$18+Inputs!$G$212*Geometry!$B$15+Inputs!$H$212*Geometry!$B$14,IF(Geometry!$C$132="global",Inputs!$F$212,0))</f>
        <v/>
      </c>
      <c r="F132" s="3">
        <f>IF(AND(Geometry!$C$132="hanging",Inputs!$I$212&lt;&gt;""),IFERROR(MATCH(Inputs!$I$212&amp;"",Geometry!$B$58:$B$137,0),0),0)</f>
        <v/>
      </c>
      <c r="G132" s="3">
        <f>IF(Geometry!$C$132="hanging",IF(Inputs!$J$212="",1,Inputs!$J$212),0)</f>
        <v/>
      </c>
      <c r="H132" s="3">
        <f>IF(Geometry!$C$132="hanging",IF(Geometry!$F$132&gt;0,INDEX(Geometry!$D$58:$D$137,Geometry!$F$132),0),Geometry!$D$132)</f>
        <v/>
      </c>
      <c r="I132" s="3">
        <f>IF(Geometry!$C$132="hanging",IF(Geometry!$F$132&gt;0,INDEX(Geometry!$E$58:$E$137,Geometry!$F$132)-Geometry!$G$132,0),Geometry!$E$132)</f>
        <v/>
      </c>
      <c r="J132" s="3">
        <f>IF(AND(Geometry!$B$26=1,Geometry!$A$132=1,Geometry!$B$132=Geometry!$B$20),1,0)</f>
        <v/>
      </c>
      <c r="K132" s="3">
        <f>Geometry!$H$132</f>
        <v/>
      </c>
      <c r="L132" s="3">
        <f>IF(Geometry!$J$132=1,Geometry!$B$25-Geometry!$B$19,Geometry!$I$132)</f>
        <v/>
      </c>
    </row>
    <row r="133">
      <c r="A133" s="3">
        <f>Inputs!$A$213</f>
        <v/>
      </c>
      <c r="B133" s="3">
        <f>IF(Geometry!$A$133=1,Inputs!$B$213&amp;"","")</f>
        <v/>
      </c>
      <c r="C133" s="3">
        <f>IF(Geometry!$A$133=1,Inputs!$D$213&amp;"","")</f>
        <v/>
      </c>
      <c r="D133" s="3">
        <f>IF(Geometry!$C$133="boom_local",Geometry!$B$17+Inputs!$G$213*Geometry!$B$14-Inputs!$H$213*Geometry!$B$15,IF(Geometry!$C$133="global",Inputs!$E$213,0))</f>
        <v/>
      </c>
      <c r="E133" s="3">
        <f>IF(Geometry!$C$133="boom_local",Geometry!$B$18+Inputs!$G$213*Geometry!$B$15+Inputs!$H$213*Geometry!$B$14,IF(Geometry!$C$133="global",Inputs!$F$213,0))</f>
        <v/>
      </c>
      <c r="F133" s="3">
        <f>IF(AND(Geometry!$C$133="hanging",Inputs!$I$213&lt;&gt;""),IFERROR(MATCH(Inputs!$I$213&amp;"",Geometry!$B$58:$B$137,0),0),0)</f>
        <v/>
      </c>
      <c r="G133" s="3">
        <f>IF(Geometry!$C$133="hanging",IF(Inputs!$J$213="",1,Inputs!$J$213),0)</f>
        <v/>
      </c>
      <c r="H133" s="3">
        <f>IF(Geometry!$C$133="hanging",IF(Geometry!$F$133&gt;0,INDEX(Geometry!$D$58:$D$137,Geometry!$F$133),0),Geometry!$D$133)</f>
        <v/>
      </c>
      <c r="I133" s="3">
        <f>IF(Geometry!$C$133="hanging",IF(Geometry!$F$133&gt;0,INDEX(Geometry!$E$58:$E$137,Geometry!$F$133)-Geometry!$G$133,0),Geometry!$E$133)</f>
        <v/>
      </c>
      <c r="J133" s="3">
        <f>IF(AND(Geometry!$B$26=1,Geometry!$A$133=1,Geometry!$B$133=Geometry!$B$20),1,0)</f>
        <v/>
      </c>
      <c r="K133" s="3">
        <f>Geometry!$H$133</f>
        <v/>
      </c>
      <c r="L133" s="3">
        <f>IF(Geometry!$J$133=1,Geometry!$B$25-Geometry!$B$19,Geometry!$I$133)</f>
        <v/>
      </c>
    </row>
    <row r="134">
      <c r="A134" s="3">
        <f>Inputs!$A$214</f>
        <v/>
      </c>
      <c r="B134" s="3">
        <f>IF(Geometry!$A$134=1,Inputs!$B$214&amp;"","")</f>
        <v/>
      </c>
      <c r="C134" s="3">
        <f>IF(Geometry!$A$134=1,Inputs!$D$214&amp;"","")</f>
        <v/>
      </c>
      <c r="D134" s="3">
        <f>IF(Geometry!$C$134="boom_local",Geometry!$B$17+Inputs!$G$214*Geometry!$B$14-Inputs!$H$214*Geometry!$B$15,IF(Geometry!$C$134="global",Inputs!$E$214,0))</f>
        <v/>
      </c>
      <c r="E134" s="3">
        <f>IF(Geometry!$C$134="boom_local",Geometry!$B$18+Inputs!$G$214*Geometry!$B$15+Inputs!$H$214*Geometry!$B$14,IF(Geometry!$C$134="global",Inputs!$F$214,0))</f>
        <v/>
      </c>
      <c r="F134" s="3">
        <f>IF(AND(Geometry!$C$134="hanging",Inputs!$I$214&lt;&gt;""),IFERROR(MATCH(Inputs!$I$214&amp;"",Geometry!$B$58:$B$137,0),0),0)</f>
        <v/>
      </c>
      <c r="G134" s="3">
        <f>IF(Geometry!$C$134="hanging",IF(Inputs!$J$214="",1,Inputs!$J$214),0)</f>
        <v/>
      </c>
      <c r="H134" s="3">
        <f>IF(Geometry!$C$134="hanging",IF(Geometry!$F$134&gt;0,INDEX(Geometry!$D$58:$D$137,Geometry!$F$134),0),Geometry!$D$134)</f>
        <v/>
      </c>
      <c r="I134" s="3">
        <f>IF(Geometry!$C$134="hanging",IF(Geometry!$F$134&gt;0,INDEX(Geometry!$E$58:$E$137,Geometry!$F$134)-Geometry!$G$134,0),Geometry!$E$134)</f>
        <v/>
      </c>
      <c r="J134" s="3">
        <f>IF(AND(Geometry!$B$26=1,Geometry!$A$134=1,Geometry!$B$134=Geometry!$B$20),1,0)</f>
        <v/>
      </c>
      <c r="K134" s="3">
        <f>Geometry!$H$134</f>
        <v/>
      </c>
      <c r="L134" s="3">
        <f>IF(Geometry!$J$134=1,Geometry!$B$25-Geometry!$B$19,Geometry!$I$134)</f>
        <v/>
      </c>
    </row>
    <row r="135">
      <c r="A135" s="3">
        <f>Inputs!$A$215</f>
        <v/>
      </c>
      <c r="B135" s="3">
        <f>IF(Geometry!$A$135=1,Inputs!$B$215&amp;"","")</f>
        <v/>
      </c>
      <c r="C135" s="3">
        <f>IF(Geometry!$A$135=1,Inputs!$D$215&amp;"","")</f>
        <v/>
      </c>
      <c r="D135" s="3">
        <f>IF(Geometry!$C$135="boom_local",Geometry!$B$17+Inputs!$G$215*Geometry!$B$14-Inputs!$H$215*Geometry!$B$15,IF(Geometry!$C$135="global",Inputs!$E$215,0))</f>
        <v/>
      </c>
      <c r="E135" s="3">
        <f>IF(Geometry!$C$135="boom_local",Geometry!$B$18+Inputs!$G$215*Geometry!$B$15+Inputs!$H$215*Geometry!$B$14,IF(Geometry!$C$135="global",Inputs!$F$215,0))</f>
        <v/>
      </c>
      <c r="F135" s="3">
        <f>IF(AND(Geometry!$C$135="hanging",Inputs!$I$215&lt;&gt;""),IFERROR(MATCH(Inputs!$I$215&amp;"",Geometry!$B$58:$B$137,0),0),0)</f>
        <v/>
      </c>
      <c r="G135" s="3">
        <f>IF(Geometry!$C$135="hanging",IF(Inputs!$J$215="",1,Inputs!$J$215),0)</f>
        <v/>
      </c>
      <c r="H135" s="3">
        <f>IF(Geometry!$C$135="hanging",IF(Geometry!$F$135&gt;0,INDEX(Geometry!$D$58:$D$137,Geometry!$F$135),0),Geometry!$D$135)</f>
        <v/>
      </c>
      <c r="I135" s="3">
        <f>IF(Geometry!$C$135="hanging",IF(Geometry!$F$135&gt;0,INDEX(Geometry!$E$58:$E$137,Geometry!$F$135)-Geometry!$G$135,0),Geometry!$E$135)</f>
        <v/>
      </c>
      <c r="J135" s="3">
        <f>IF(AND(Geometry!$B$26=1,Geometry!$A$135=1,Geometry!$B$135=Geometry!$B$20),1,0)</f>
        <v/>
      </c>
      <c r="K135" s="3">
        <f>Geometry!$H$135</f>
        <v/>
      </c>
      <c r="L135" s="3">
        <f>IF(Geometry!$J$135=1,Geometry!$B$25-Geometry!$B$19,Geometry!$I$135)</f>
        <v/>
      </c>
    </row>
    <row r="136">
      <c r="A136" s="3">
        <f>Inputs!$A$216</f>
        <v/>
      </c>
      <c r="B136" s="3">
        <f>IF(Geometry!$A$136=1,Inputs!$B$216&amp;"","")</f>
        <v/>
      </c>
      <c r="C136" s="3">
        <f>IF(Geometry!$A$136=1,Inputs!$D$216&amp;"","")</f>
        <v/>
      </c>
      <c r="D136" s="3">
        <f>IF(Geometry!$C$136="boom_local",Geometry!$B$17+Inputs!$G$216*Geometry!$B$14-Inputs!$H$216*Geometry!$B$15,IF(Geometry!$C$136="global",Inputs!$E$216,0))</f>
        <v/>
      </c>
      <c r="E136" s="3">
        <f>IF(Geometry!$C$136="boom_local",Geometry!$B$18+Inputs!$G$216*Geometry!$B$15+Inputs!$H$216*Geometry!$B$14,IF(Geometry!$C$136="global",Inputs!$F$216,0))</f>
        <v/>
      </c>
      <c r="F136" s="3">
        <f>IF(AND(Geometry!$C$136="hanging",Inputs!$I$216&lt;&gt;""),IFERROR(MATCH(Inputs!$I$216&amp;"",Geometry!$B$58:$B$137,0),0),0)</f>
        <v/>
      </c>
      <c r="G136" s="3">
        <f>IF(Geometry!$C$136="hanging",IF(Inputs!$J$216="",1,Inputs!$J$216),0)</f>
        <v/>
      </c>
      <c r="H136" s="3">
        <f>IF(Geometry!$C$136="hanging",IF(Geometry!$F$136&gt;0,INDEX(Geometry!$D$58:$D$137,Geometry!$F$136),0),Geometry!$D$136)</f>
        <v/>
      </c>
      <c r="I136" s="3">
        <f>IF(Geometry!$C$136="hanging",IF(Geometry!$F$136&gt;0,INDEX(Geometry!$E$58:$E$137,Geometry!$F$136)-Geometry!$G$136,0),Geometry!$E$136)</f>
        <v/>
      </c>
      <c r="J136" s="3">
        <f>IF(AND(Geometry!$B$26=1,Geometry!$A$136=1,Geometry!$B$136=Geometry!$B$20),1,0)</f>
        <v/>
      </c>
      <c r="K136" s="3">
        <f>Geometry!$H$136</f>
        <v/>
      </c>
      <c r="L136" s="3">
        <f>IF(Geometry!$J$136=1,Geometry!$B$25-Geometry!$B$19,Geometry!$I$136)</f>
        <v/>
      </c>
    </row>
    <row r="137">
      <c r="A137" s="3">
        <f>Inputs!$A$217</f>
        <v/>
      </c>
      <c r="B137" s="3">
        <f>IF(Geometry!$A$137=1,Inputs!$B$217&amp;"","")</f>
        <v/>
      </c>
      <c r="C137" s="3">
        <f>IF(Geometry!$A$137=1,Inputs!$D$217&amp;"","")</f>
        <v/>
      </c>
      <c r="D137" s="3">
        <f>IF(Geometry!$C$137="boom_local",Geometry!$B$17+Inputs!$G$217*Geometry!$B$14-Inputs!$H$217*Geometry!$B$15,IF(Geometry!$C$137="global",Inputs!$E$217,0))</f>
        <v/>
      </c>
      <c r="E137" s="3">
        <f>IF(Geometry!$C$137="boom_local",Geometry!$B$18+Inputs!$G$217*Geometry!$B$15+Inputs!$H$217*Geometry!$B$14,IF(Geometry!$C$137="global",Inputs!$F$217,0))</f>
        <v/>
      </c>
      <c r="F137" s="3">
        <f>IF(AND(Geometry!$C$137="hanging",Inputs!$I$217&lt;&gt;""),IFERROR(MATCH(Inputs!$I$217&amp;"",Geometry!$B$58:$B$137,0),0),0)</f>
        <v/>
      </c>
      <c r="G137" s="3">
        <f>IF(Geometry!$C$137="hanging",IF(Inputs!$J$217="",1,Inputs!$J$217),0)</f>
        <v/>
      </c>
      <c r="H137" s="3">
        <f>IF(Geometry!$C$137="hanging",IF(Geometry!$F$137&gt;0,INDEX(Geometry!$D$58:$D$137,Geometry!$F$137),0),Geometry!$D$137)</f>
        <v/>
      </c>
      <c r="I137" s="3">
        <f>IF(Geometry!$C$137="hanging",IF(Geometry!$F$137&gt;0,INDEX(Geometry!$E$58:$E$137,Geometry!$F$137)-Geometry!$G$137,0),Geometry!$E$137)</f>
        <v/>
      </c>
      <c r="J137" s="3">
        <f>IF(AND(Geometry!$B$26=1,Geometry!$A$137=1,Geometry!$B$137=Geometry!$B$20),1,0)</f>
        <v/>
      </c>
      <c r="K137" s="3">
        <f>Geometry!$H$137</f>
        <v/>
      </c>
      <c r="L137" s="3">
        <f>IF(Geometry!$J$137=1,Geometry!$B$25-Geometry!$B$19,Geometry!$I$137)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308"/>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Loads -- in-plane loads on the four bodies</t>
        </is>
      </c>
    </row>
    <row r="3">
      <c r="A3" s="9" t="inlineStr">
        <is>
          <t>In-plane (x, z) loads on the four bodies, row by row, as the solver accumulates them (calculation/solver/crane_solver.py _accumulate_loads). Moments are about the origin: M = x Fz - z Fx.</t>
        </is>
      </c>
    </row>
    <row r="4">
      <c r="A4" s="9" t="inlineStr">
        <is>
          <t>Mass load = weight m g' (Gravity) + inertia -m (a' + lever x pitch') (Inertia); their sum is the solver's inertia_force with k = g - a. dx = x - x_ref, dz = z - z_ref.</t>
        </is>
      </c>
    </row>
    <row r="5">
      <c r="A5" s="9" t="inlineStr">
        <is>
          <t>Rope self-weight is lumped at nodes (calculation/rope_mass.py rope_mass_at_nodes) and loaded like a mass point (gravity + inertia, column group 'rope weight').</t>
        </is>
      </c>
    </row>
    <row r="6">
      <c r="A6" s="9" t="inlineStr">
        <is>
          <t>Rope tension: the scene hoist's rope carries hook load / parts at the hook; an idle hoist's rope m_hook (|g| + az') / parts (az' = solver_az on Geometry). The solve (boom hoist) rope has an unknown tension: its unit-tension coefficients bh_* are listed and Statics multiplies them by the solved tension.</t>
        </is>
      </c>
    </row>
    <row r="7">
      <c r="A7" s="9" t="inlineStr">
        <is>
          <t>Parts at the hook = sum of the multipliers of the rope's active segments touching the hook node (min 1), as the solver does outside split mode; the hoists' Falls column is not used here (equal to those parts for 22689).</t>
        </is>
      </c>
    </row>
    <row r="8">
      <c r="A8" s="9" t="inlineStr">
        <is>
          <t>Split-block mode is NOT supported: the hoists' splitable / split falls / split hook mass columns are ignored (the app's normal mode).</t>
        </is>
      </c>
    </row>
    <row r="9">
      <c r="A9" s="9" t="inlineStr">
        <is>
          <t>Spare and inactive rows read 0; a zero-length segment carries no force.</t>
        </is>
      </c>
    </row>
    <row r="12">
      <c r="A12" s="6" t="inlineStr">
        <is>
          <t>Scene values used by the loads</t>
        </is>
      </c>
    </row>
    <row r="13">
      <c r="A13" t="inlineStr">
        <is>
          <t>Vessel motion reference x</t>
        </is>
      </c>
      <c r="B13" s="3">
        <f>Inputs!$B$8+0</f>
        <v/>
      </c>
      <c r="C13" t="inlineStr">
        <is>
          <t>m</t>
        </is>
      </c>
      <c r="D13" s="7" t="inlineStr">
        <is>
          <t>ref_x_m</t>
        </is>
      </c>
    </row>
    <row r="14">
      <c r="A14" t="inlineStr">
        <is>
          <t>Vessel motion reference z</t>
        </is>
      </c>
      <c r="B14" s="3">
        <f>Inputs!$B$9+0</f>
        <v/>
      </c>
      <c r="C14" t="inlineStr">
        <is>
          <t>m</t>
        </is>
      </c>
      <c r="D14" s="7" t="inlineStr">
        <is>
          <t>ref_z_m</t>
        </is>
      </c>
    </row>
    <row r="15">
      <c r="A15" t="inlineStr">
        <is>
          <t>Gravity x, crane frame (g')</t>
        </is>
      </c>
      <c r="B15" s="3">
        <f>Geometry!$B$40</f>
        <v/>
      </c>
      <c r="C15" t="inlineStr">
        <is>
          <t>m/s^2</t>
        </is>
      </c>
      <c r="D15" s="7" t="inlineStr">
        <is>
          <t>gx  -- Geometry</t>
        </is>
      </c>
    </row>
    <row r="16">
      <c r="A16" t="inlineStr">
        <is>
          <t>Gravity z, crane frame (g')</t>
        </is>
      </c>
      <c r="B16" s="3">
        <f>Geometry!$B$42</f>
        <v/>
      </c>
      <c r="C16" t="inlineStr">
        <is>
          <t>m/s^2</t>
        </is>
      </c>
      <c r="D16" s="7" t="inlineStr">
        <is>
          <t>gz  -- Geometry</t>
        </is>
      </c>
    </row>
    <row r="17">
      <c r="A17" t="inlineStr">
        <is>
          <t>Vessel acceleration x, crane frame (a')</t>
        </is>
      </c>
      <c r="B17" s="3">
        <f>Geometry!$B$43</f>
        <v/>
      </c>
      <c r="C17" t="inlineStr">
        <is>
          <t>m/s^2</t>
        </is>
      </c>
      <c r="D17" s="7" t="inlineStr">
        <is>
          <t>ax  -- Geometry</t>
        </is>
      </c>
    </row>
    <row r="18">
      <c r="A18" t="inlineStr">
        <is>
          <t>Vessel acceleration z, crane frame (a')</t>
        </is>
      </c>
      <c r="B18" s="3">
        <f>Geometry!$B$45</f>
        <v/>
      </c>
      <c r="C18" t="inlineStr">
        <is>
          <t>m/s^2</t>
        </is>
      </c>
      <c r="D18" s="7" t="inlineStr">
        <is>
          <t>az  -- Geometry</t>
        </is>
      </c>
    </row>
    <row r="19">
      <c r="A19" t="inlineStr">
        <is>
          <t>Pitch angular acceleration, crane frame</t>
        </is>
      </c>
      <c r="B19" s="3">
        <f>Geometry!$B$52</f>
        <v/>
      </c>
      <c r="C19" t="inlineStr">
        <is>
          <t>rad/s^2</t>
        </is>
      </c>
      <c r="D19" s="7" t="inlineStr">
        <is>
          <t>pitch  -- Geometry</t>
        </is>
      </c>
    </row>
    <row r="20">
      <c r="A20" t="inlineStr">
        <is>
          <t>Idle rope acceleration |g| + solver_az</t>
        </is>
      </c>
      <c r="B20" s="3">
        <f>Geometry!$B$29+Geometry!$B$51</f>
        <v/>
      </c>
      <c r="C20" t="inlineStr">
        <is>
          <t>m/s^2</t>
        </is>
      </c>
      <c r="D20" s="7" t="inlineStr">
        <is>
          <t>idle_accel</t>
        </is>
      </c>
    </row>
    <row r="21">
      <c r="A21" t="inlineStr">
        <is>
          <t>In-plane wind sign</t>
        </is>
      </c>
      <c r="B21" s="3">
        <f>IF(Inputs!$B$32=0,0,IF(Inputs!$B$33="+X",1,IF(Inputs!$B$33="-X",-1,IF(OR(Inputs!$B$33="+Y",Inputs!$B$33="-Y"),0,1))))</f>
        <v/>
      </c>
      <c r="C21" t="inlineStr">
        <is>
          <t>+1/-1/0</t>
        </is>
      </c>
      <c r="D21" s="7" t="inlineStr">
        <is>
          <t>wind_sign  -- +X: 1, -X: -1, +Y/-Y: 0</t>
        </is>
      </c>
    </row>
    <row r="22">
      <c r="A22" t="inlineStr">
        <is>
          <t>0.5 rho V^2 / 1000</t>
        </is>
      </c>
      <c r="B22" s="3">
        <f>0.5*Inputs!$B$6*Inputs!$B$32^2/1000</f>
        <v/>
      </c>
      <c r="C22" t="inlineStr">
        <is>
          <t>kN/m^2</t>
        </is>
      </c>
      <c r="D22" s="7" t="inlineStr">
        <is>
          <t>wind_q_kN_m2</t>
        </is>
      </c>
    </row>
    <row r="23">
      <c r="A23" t="inlineStr">
        <is>
          <t>|sin(boom angle)| (body boom areas)</t>
        </is>
      </c>
      <c r="B23" s="3">
        <f>ABS(Geometry!$B$15)</f>
        <v/>
      </c>
      <c r="D23" s="7" t="inlineStr">
        <is>
          <t>boom_wind_scale</t>
        </is>
      </c>
    </row>
    <row r="24">
      <c r="A24" t="inlineStr">
        <is>
          <t>Hook load</t>
        </is>
      </c>
      <c r="B24" s="3">
        <f>Inputs!$B$28+0</f>
        <v/>
      </c>
      <c r="C24" t="inlineStr">
        <is>
          <t>kN</t>
        </is>
      </c>
      <c r="D24" s="7" t="inlineStr">
        <is>
          <t>hook_kN  -- scene value, as the solver uses it</t>
        </is>
      </c>
    </row>
    <row r="25">
      <c r="A25" t="inlineStr">
        <is>
          <t>Offlead force sin(offlead) x hook load</t>
        </is>
      </c>
      <c r="B25" s="3">
        <f>SIN(RADIANS(Inputs!$B$30))*Loads!$B$24</f>
        <v/>
      </c>
      <c r="C25" t="inlineStr">
        <is>
          <t>kN</t>
        </is>
      </c>
      <c r="D25" s="7" t="inlineStr">
        <is>
          <t>offlead_fx_kN  -- +x</t>
        </is>
      </c>
    </row>
    <row r="26">
      <c r="A26" t="inlineStr">
        <is>
          <t>Row of the hook node in nodes</t>
        </is>
      </c>
      <c r="B26" s="3">
        <f>Geometry!$B$21</f>
        <v/>
      </c>
      <c r="C26" t="inlineStr">
        <is>
          <t>row</t>
        </is>
      </c>
      <c r="D26" s="7" t="inlineStr">
        <is>
          <t>hook_row  -- 0 = missing</t>
        </is>
      </c>
    </row>
    <row r="27">
      <c r="A27" t="inlineStr">
        <is>
          <t>Row of the offlead node (hook's parent, else the hook)</t>
        </is>
      </c>
      <c r="B27" s="3">
        <f>IF(Loads!$B$26=0,0,IF(Geometry!$B$22="",Loads!$B$26,IFERROR(MATCH(Geometry!$B$22,Geometry!$B$58:$B$137,0),Loads!$B$26)))</f>
        <v/>
      </c>
      <c r="C27" t="inlineStr">
        <is>
          <t>row</t>
        </is>
      </c>
      <c r="D27" s="7" t="inlineStr">
        <is>
          <t>anchor_row  -- 0 = missing</t>
        </is>
      </c>
    </row>
    <row r="28">
      <c r="A28" t="inlineStr">
        <is>
          <t>Rope of the scene hoist</t>
        </is>
      </c>
      <c r="B28" s="3">
        <f>IFERROR(INDEX(Loads!$C$139:$C$146,MATCH(Inputs!$B$26,Loads!$B$139:$B$146,0))&amp;"","")</f>
        <v/>
      </c>
      <c r="D28" s="7" t="inlineStr">
        <is>
          <t>scene_rope_id</t>
        </is>
      </c>
    </row>
    <row r="30">
      <c r="A30" s="6" t="inlineStr">
        <is>
          <t>Mass points (row i = Inputs mass points row i)</t>
        </is>
      </c>
    </row>
    <row r="31">
      <c r="A31" s="8" t="inlineStr">
        <is>
          <t>Active [1/0]</t>
        </is>
      </c>
      <c r="B31" s="8" t="inlineStr">
        <is>
          <t>Body</t>
        </is>
      </c>
      <c r="C31" s="8" t="inlineStr">
        <is>
          <t>x global [m]</t>
        </is>
      </c>
      <c r="D31" s="8" t="inlineStr">
        <is>
          <t>z global [m]</t>
        </is>
      </c>
      <c r="E31" s="8" t="inlineStr">
        <is>
          <t>Mass [t]</t>
        </is>
      </c>
      <c r="F31" s="8" t="inlineStr">
        <is>
          <t>Weight Fx = m gx' [kN]</t>
        </is>
      </c>
      <c r="G31" s="8" t="inlineStr">
        <is>
          <t>Weight Fz = m gz' [kN]</t>
        </is>
      </c>
      <c r="H31" s="8" t="inlineStr">
        <is>
          <t>Weight moment [kNm]</t>
        </is>
      </c>
      <c r="I31" s="8" t="inlineStr">
        <is>
          <t>Inertia Fx = -m (ax' + pitch' dz) [kN]</t>
        </is>
      </c>
      <c r="J31" s="8" t="inlineStr">
        <is>
          <t>Inertia Fz = -m (az' - pitch' dx) [kN]</t>
        </is>
      </c>
      <c r="K31" s="8" t="inlineStr">
        <is>
          <t>Inertia moment [kNm]</t>
        </is>
      </c>
      <c r="L31" s="8" t="inlineStr">
        <is>
          <t>Fx total [kN]</t>
        </is>
      </c>
      <c r="M31" s="8" t="inlineStr">
        <is>
          <t>Fz total [kN]</t>
        </is>
      </c>
      <c r="N31" s="8" t="inlineStr">
        <is>
          <t>Moment total [kNm]</t>
        </is>
      </c>
    </row>
    <row r="32">
      <c r="A32" s="7" t="inlineStr">
        <is>
          <t>active (from Inputs)</t>
        </is>
      </c>
      <c r="B32" s="7" t="inlineStr">
        <is>
          <t>body</t>
        </is>
      </c>
      <c r="C32" s="7" t="inlineStr">
        <is>
          <t>x_m (boom-local rotated about the heel)</t>
        </is>
      </c>
      <c r="D32" s="7" t="inlineStr">
        <is>
          <t>z_m</t>
        </is>
      </c>
      <c r="E32" s="7" t="inlineStr">
        <is>
          <t>mass_t</t>
        </is>
      </c>
      <c r="F32" s="7" t="inlineStr">
        <is>
          <t>grav_fx</t>
        </is>
      </c>
      <c r="G32" s="7" t="inlineStr">
        <is>
          <t>grav_fz</t>
        </is>
      </c>
      <c r="H32" s="7" t="inlineStr">
        <is>
          <t>grav_m</t>
        </is>
      </c>
      <c r="I32" s="7" t="inlineStr">
        <is>
          <t>inertia_fx</t>
        </is>
      </c>
      <c r="J32" s="7" t="inlineStr">
        <is>
          <t>inertia_fz</t>
        </is>
      </c>
      <c r="K32" s="7" t="inlineStr">
        <is>
          <t>inertia_m</t>
        </is>
      </c>
      <c r="L32" s="7" t="inlineStr">
        <is>
          <t>fx (crane_solver inertia_force)</t>
        </is>
      </c>
      <c r="M32" s="7" t="inlineStr">
        <is>
          <t>fz</t>
        </is>
      </c>
      <c r="N32" s="7" t="inlineStr">
        <is>
          <t>m</t>
        </is>
      </c>
    </row>
    <row r="33">
      <c r="A33" s="3">
        <f>Inputs!$A$46</f>
        <v/>
      </c>
      <c r="B33" s="3">
        <f>IF(Loads!$A$33=1,Inputs!$C$46&amp;"","")</f>
        <v/>
      </c>
      <c r="C33" s="3">
        <f>IF(Loads!$A$33=1,IF(Inputs!$D$46="boom_local",Geometry!$B$17+Inputs!$F$46*Geometry!$B$14-Inputs!$H$46*Geometry!$B$15,Inputs!$I$46+0),0)</f>
        <v/>
      </c>
      <c r="D33" s="3">
        <f>IF(Loads!$A$33=1,IF(Inputs!$D$46="boom_local",Geometry!$B$18+Inputs!$F$46*Geometry!$B$15+Inputs!$H$46*Geometry!$B$14,Inputs!$K$46+0),0)</f>
        <v/>
      </c>
      <c r="E33" s="3">
        <f>IF(Loads!$A$33=1,Inputs!$E$46+0,0)</f>
        <v/>
      </c>
      <c r="F33" s="3">
        <f>Loads!$E$33*Loads!$B$15</f>
        <v/>
      </c>
      <c r="G33" s="3">
        <f>Loads!$E$33*Loads!$B$16</f>
        <v/>
      </c>
      <c r="H33" s="3">
        <f>Loads!$C$33*Loads!$G$33-Loads!$D$33*Loads!$F$33</f>
        <v/>
      </c>
      <c r="I33" s="3">
        <f>-Loads!$E$33*(Loads!$B$17+Loads!$B$19*(Loads!$D$33-Loads!$B$14))</f>
        <v/>
      </c>
      <c r="J33" s="3">
        <f>-Loads!$E$33*(Loads!$B$18-Loads!$B$19*(Loads!$C$33-Loads!$B$13))</f>
        <v/>
      </c>
      <c r="K33" s="3">
        <f>Loads!$C$33*Loads!$J$33-Loads!$D$33*Loads!$I$33</f>
        <v/>
      </c>
      <c r="L33" s="3">
        <f>Loads!$F$33+Loads!$I$33</f>
        <v/>
      </c>
      <c r="M33" s="3">
        <f>Loads!$G$33+Loads!$J$33</f>
        <v/>
      </c>
      <c r="N33" s="3">
        <f>Loads!$H$33+Loads!$K$33</f>
        <v/>
      </c>
    </row>
    <row r="34">
      <c r="A34" s="3">
        <f>Inputs!$A$47</f>
        <v/>
      </c>
      <c r="B34" s="3">
        <f>IF(Loads!$A$34=1,Inputs!$C$47&amp;"","")</f>
        <v/>
      </c>
      <c r="C34" s="3">
        <f>IF(Loads!$A$34=1,IF(Inputs!$D$47="boom_local",Geometry!$B$17+Inputs!$F$47*Geometry!$B$14-Inputs!$H$47*Geometry!$B$15,Inputs!$I$47+0),0)</f>
        <v/>
      </c>
      <c r="D34" s="3">
        <f>IF(Loads!$A$34=1,IF(Inputs!$D$47="boom_local",Geometry!$B$18+Inputs!$F$47*Geometry!$B$15+Inputs!$H$47*Geometry!$B$14,Inputs!$K$47+0),0)</f>
        <v/>
      </c>
      <c r="E34" s="3">
        <f>IF(Loads!$A$34=1,Inputs!$E$47+0,0)</f>
        <v/>
      </c>
      <c r="F34" s="3">
        <f>Loads!$E$34*Loads!$B$15</f>
        <v/>
      </c>
      <c r="G34" s="3">
        <f>Loads!$E$34*Loads!$B$16</f>
        <v/>
      </c>
      <c r="H34" s="3">
        <f>Loads!$C$34*Loads!$G$34-Loads!$D$34*Loads!$F$34</f>
        <v/>
      </c>
      <c r="I34" s="3">
        <f>-Loads!$E$34*(Loads!$B$17+Loads!$B$19*(Loads!$D$34-Loads!$B$14))</f>
        <v/>
      </c>
      <c r="J34" s="3">
        <f>-Loads!$E$34*(Loads!$B$18-Loads!$B$19*(Loads!$C$34-Loads!$B$13))</f>
        <v/>
      </c>
      <c r="K34" s="3">
        <f>Loads!$C$34*Loads!$J$34-Loads!$D$34*Loads!$I$34</f>
        <v/>
      </c>
      <c r="L34" s="3">
        <f>Loads!$F$34+Loads!$I$34</f>
        <v/>
      </c>
      <c r="M34" s="3">
        <f>Loads!$G$34+Loads!$J$34</f>
        <v/>
      </c>
      <c r="N34" s="3">
        <f>Loads!$H$34+Loads!$K$34</f>
        <v/>
      </c>
    </row>
    <row r="35">
      <c r="A35" s="3">
        <f>Inputs!$A$48</f>
        <v/>
      </c>
      <c r="B35" s="3">
        <f>IF(Loads!$A$35=1,Inputs!$C$48&amp;"","")</f>
        <v/>
      </c>
      <c r="C35" s="3">
        <f>IF(Loads!$A$35=1,IF(Inputs!$D$48="boom_local",Geometry!$B$17+Inputs!$F$48*Geometry!$B$14-Inputs!$H$48*Geometry!$B$15,Inputs!$I$48+0),0)</f>
        <v/>
      </c>
      <c r="D35" s="3">
        <f>IF(Loads!$A$35=1,IF(Inputs!$D$48="boom_local",Geometry!$B$18+Inputs!$F$48*Geometry!$B$15+Inputs!$H$48*Geometry!$B$14,Inputs!$K$48+0),0)</f>
        <v/>
      </c>
      <c r="E35" s="3">
        <f>IF(Loads!$A$35=1,Inputs!$E$48+0,0)</f>
        <v/>
      </c>
      <c r="F35" s="3">
        <f>Loads!$E$35*Loads!$B$15</f>
        <v/>
      </c>
      <c r="G35" s="3">
        <f>Loads!$E$35*Loads!$B$16</f>
        <v/>
      </c>
      <c r="H35" s="3">
        <f>Loads!$C$35*Loads!$G$35-Loads!$D$35*Loads!$F$35</f>
        <v/>
      </c>
      <c r="I35" s="3">
        <f>-Loads!$E$35*(Loads!$B$17+Loads!$B$19*(Loads!$D$35-Loads!$B$14))</f>
        <v/>
      </c>
      <c r="J35" s="3">
        <f>-Loads!$E$35*(Loads!$B$18-Loads!$B$19*(Loads!$C$35-Loads!$B$13))</f>
        <v/>
      </c>
      <c r="K35" s="3">
        <f>Loads!$C$35*Loads!$J$35-Loads!$D$35*Loads!$I$35</f>
        <v/>
      </c>
      <c r="L35" s="3">
        <f>Loads!$F$35+Loads!$I$35</f>
        <v/>
      </c>
      <c r="M35" s="3">
        <f>Loads!$G$35+Loads!$J$35</f>
        <v/>
      </c>
      <c r="N35" s="3">
        <f>Loads!$H$35+Loads!$K$35</f>
        <v/>
      </c>
    </row>
    <row r="36">
      <c r="A36" s="3">
        <f>Inputs!$A$49</f>
        <v/>
      </c>
      <c r="B36" s="3">
        <f>IF(Loads!$A$36=1,Inputs!$C$49&amp;"","")</f>
        <v/>
      </c>
      <c r="C36" s="3">
        <f>IF(Loads!$A$36=1,IF(Inputs!$D$49="boom_local",Geometry!$B$17+Inputs!$F$49*Geometry!$B$14-Inputs!$H$49*Geometry!$B$15,Inputs!$I$49+0),0)</f>
        <v/>
      </c>
      <c r="D36" s="3">
        <f>IF(Loads!$A$36=1,IF(Inputs!$D$49="boom_local",Geometry!$B$18+Inputs!$F$49*Geometry!$B$15+Inputs!$H$49*Geometry!$B$14,Inputs!$K$49+0),0)</f>
        <v/>
      </c>
      <c r="E36" s="3">
        <f>IF(Loads!$A$36=1,Inputs!$E$49+0,0)</f>
        <v/>
      </c>
      <c r="F36" s="3">
        <f>Loads!$E$36*Loads!$B$15</f>
        <v/>
      </c>
      <c r="G36" s="3">
        <f>Loads!$E$36*Loads!$B$16</f>
        <v/>
      </c>
      <c r="H36" s="3">
        <f>Loads!$C$36*Loads!$G$36-Loads!$D$36*Loads!$F$36</f>
        <v/>
      </c>
      <c r="I36" s="3">
        <f>-Loads!$E$36*(Loads!$B$17+Loads!$B$19*(Loads!$D$36-Loads!$B$14))</f>
        <v/>
      </c>
      <c r="J36" s="3">
        <f>-Loads!$E$36*(Loads!$B$18-Loads!$B$19*(Loads!$C$36-Loads!$B$13))</f>
        <v/>
      </c>
      <c r="K36" s="3">
        <f>Loads!$C$36*Loads!$J$36-Loads!$D$36*Loads!$I$36</f>
        <v/>
      </c>
      <c r="L36" s="3">
        <f>Loads!$F$36+Loads!$I$36</f>
        <v/>
      </c>
      <c r="M36" s="3">
        <f>Loads!$G$36+Loads!$J$36</f>
        <v/>
      </c>
      <c r="N36" s="3">
        <f>Loads!$H$36+Loads!$K$36</f>
        <v/>
      </c>
    </row>
    <row r="37">
      <c r="A37" s="3">
        <f>Inputs!$A$50</f>
        <v/>
      </c>
      <c r="B37" s="3">
        <f>IF(Loads!$A$37=1,Inputs!$C$50&amp;"","")</f>
        <v/>
      </c>
      <c r="C37" s="3">
        <f>IF(Loads!$A$37=1,IF(Inputs!$D$50="boom_local",Geometry!$B$17+Inputs!$F$50*Geometry!$B$14-Inputs!$H$50*Geometry!$B$15,Inputs!$I$50+0),0)</f>
        <v/>
      </c>
      <c r="D37" s="3">
        <f>IF(Loads!$A$37=1,IF(Inputs!$D$50="boom_local",Geometry!$B$18+Inputs!$F$50*Geometry!$B$15+Inputs!$H$50*Geometry!$B$14,Inputs!$K$50+0),0)</f>
        <v/>
      </c>
      <c r="E37" s="3">
        <f>IF(Loads!$A$37=1,Inputs!$E$50+0,0)</f>
        <v/>
      </c>
      <c r="F37" s="3">
        <f>Loads!$E$37*Loads!$B$15</f>
        <v/>
      </c>
      <c r="G37" s="3">
        <f>Loads!$E$37*Loads!$B$16</f>
        <v/>
      </c>
      <c r="H37" s="3">
        <f>Loads!$C$37*Loads!$G$37-Loads!$D$37*Loads!$F$37</f>
        <v/>
      </c>
      <c r="I37" s="3">
        <f>-Loads!$E$37*(Loads!$B$17+Loads!$B$19*(Loads!$D$37-Loads!$B$14))</f>
        <v/>
      </c>
      <c r="J37" s="3">
        <f>-Loads!$E$37*(Loads!$B$18-Loads!$B$19*(Loads!$C$37-Loads!$B$13))</f>
        <v/>
      </c>
      <c r="K37" s="3">
        <f>Loads!$C$37*Loads!$J$37-Loads!$D$37*Loads!$I$37</f>
        <v/>
      </c>
      <c r="L37" s="3">
        <f>Loads!$F$37+Loads!$I$37</f>
        <v/>
      </c>
      <c r="M37" s="3">
        <f>Loads!$G$37+Loads!$J$37</f>
        <v/>
      </c>
      <c r="N37" s="3">
        <f>Loads!$H$37+Loads!$K$37</f>
        <v/>
      </c>
    </row>
    <row r="38">
      <c r="A38" s="3">
        <f>Inputs!$A$51</f>
        <v/>
      </c>
      <c r="B38" s="3">
        <f>IF(Loads!$A$38=1,Inputs!$C$51&amp;"","")</f>
        <v/>
      </c>
      <c r="C38" s="3">
        <f>IF(Loads!$A$38=1,IF(Inputs!$D$51="boom_local",Geometry!$B$17+Inputs!$F$51*Geometry!$B$14-Inputs!$H$51*Geometry!$B$15,Inputs!$I$51+0),0)</f>
        <v/>
      </c>
      <c r="D38" s="3">
        <f>IF(Loads!$A$38=1,IF(Inputs!$D$51="boom_local",Geometry!$B$18+Inputs!$F$51*Geometry!$B$15+Inputs!$H$51*Geometry!$B$14,Inputs!$K$51+0),0)</f>
        <v/>
      </c>
      <c r="E38" s="3">
        <f>IF(Loads!$A$38=1,Inputs!$E$51+0,0)</f>
        <v/>
      </c>
      <c r="F38" s="3">
        <f>Loads!$E$38*Loads!$B$15</f>
        <v/>
      </c>
      <c r="G38" s="3">
        <f>Loads!$E$38*Loads!$B$16</f>
        <v/>
      </c>
      <c r="H38" s="3">
        <f>Loads!$C$38*Loads!$G$38-Loads!$D$38*Loads!$F$38</f>
        <v/>
      </c>
      <c r="I38" s="3">
        <f>-Loads!$E$38*(Loads!$B$17+Loads!$B$19*(Loads!$D$38-Loads!$B$14))</f>
        <v/>
      </c>
      <c r="J38" s="3">
        <f>-Loads!$E$38*(Loads!$B$18-Loads!$B$19*(Loads!$C$38-Loads!$B$13))</f>
        <v/>
      </c>
      <c r="K38" s="3">
        <f>Loads!$C$38*Loads!$J$38-Loads!$D$38*Loads!$I$38</f>
        <v/>
      </c>
      <c r="L38" s="3">
        <f>Loads!$F$38+Loads!$I$38</f>
        <v/>
      </c>
      <c r="M38" s="3">
        <f>Loads!$G$38+Loads!$J$38</f>
        <v/>
      </c>
      <c r="N38" s="3">
        <f>Loads!$H$38+Loads!$K$38</f>
        <v/>
      </c>
    </row>
    <row r="39">
      <c r="A39" s="3">
        <f>Inputs!$A$52</f>
        <v/>
      </c>
      <c r="B39" s="3">
        <f>IF(Loads!$A$39=1,Inputs!$C$52&amp;"","")</f>
        <v/>
      </c>
      <c r="C39" s="3">
        <f>IF(Loads!$A$39=1,IF(Inputs!$D$52="boom_local",Geometry!$B$17+Inputs!$F$52*Geometry!$B$14-Inputs!$H$52*Geometry!$B$15,Inputs!$I$52+0),0)</f>
        <v/>
      </c>
      <c r="D39" s="3">
        <f>IF(Loads!$A$39=1,IF(Inputs!$D$52="boom_local",Geometry!$B$18+Inputs!$F$52*Geometry!$B$15+Inputs!$H$52*Geometry!$B$14,Inputs!$K$52+0),0)</f>
        <v/>
      </c>
      <c r="E39" s="3">
        <f>IF(Loads!$A$39=1,Inputs!$E$52+0,0)</f>
        <v/>
      </c>
      <c r="F39" s="3">
        <f>Loads!$E$39*Loads!$B$15</f>
        <v/>
      </c>
      <c r="G39" s="3">
        <f>Loads!$E$39*Loads!$B$16</f>
        <v/>
      </c>
      <c r="H39" s="3">
        <f>Loads!$C$39*Loads!$G$39-Loads!$D$39*Loads!$F$39</f>
        <v/>
      </c>
      <c r="I39" s="3">
        <f>-Loads!$E$39*(Loads!$B$17+Loads!$B$19*(Loads!$D$39-Loads!$B$14))</f>
        <v/>
      </c>
      <c r="J39" s="3">
        <f>-Loads!$E$39*(Loads!$B$18-Loads!$B$19*(Loads!$C$39-Loads!$B$13))</f>
        <v/>
      </c>
      <c r="K39" s="3">
        <f>Loads!$C$39*Loads!$J$39-Loads!$D$39*Loads!$I$39</f>
        <v/>
      </c>
      <c r="L39" s="3">
        <f>Loads!$F$39+Loads!$I$39</f>
        <v/>
      </c>
      <c r="M39" s="3">
        <f>Loads!$G$39+Loads!$J$39</f>
        <v/>
      </c>
      <c r="N39" s="3">
        <f>Loads!$H$39+Loads!$K$39</f>
        <v/>
      </c>
    </row>
    <row r="40">
      <c r="A40" s="3">
        <f>Inputs!$A$53</f>
        <v/>
      </c>
      <c r="B40" s="3">
        <f>IF(Loads!$A$40=1,Inputs!$C$53&amp;"","")</f>
        <v/>
      </c>
      <c r="C40" s="3">
        <f>IF(Loads!$A$40=1,IF(Inputs!$D$53="boom_local",Geometry!$B$17+Inputs!$F$53*Geometry!$B$14-Inputs!$H$53*Geometry!$B$15,Inputs!$I$53+0),0)</f>
        <v/>
      </c>
      <c r="D40" s="3">
        <f>IF(Loads!$A$40=1,IF(Inputs!$D$53="boom_local",Geometry!$B$18+Inputs!$F$53*Geometry!$B$15+Inputs!$H$53*Geometry!$B$14,Inputs!$K$53+0),0)</f>
        <v/>
      </c>
      <c r="E40" s="3">
        <f>IF(Loads!$A$40=1,Inputs!$E$53+0,0)</f>
        <v/>
      </c>
      <c r="F40" s="3">
        <f>Loads!$E$40*Loads!$B$15</f>
        <v/>
      </c>
      <c r="G40" s="3">
        <f>Loads!$E$40*Loads!$B$16</f>
        <v/>
      </c>
      <c r="H40" s="3">
        <f>Loads!$C$40*Loads!$G$40-Loads!$D$40*Loads!$F$40</f>
        <v/>
      </c>
      <c r="I40" s="3">
        <f>-Loads!$E$40*(Loads!$B$17+Loads!$B$19*(Loads!$D$40-Loads!$B$14))</f>
        <v/>
      </c>
      <c r="J40" s="3">
        <f>-Loads!$E$40*(Loads!$B$18-Loads!$B$19*(Loads!$C$40-Loads!$B$13))</f>
        <v/>
      </c>
      <c r="K40" s="3">
        <f>Loads!$C$40*Loads!$J$40-Loads!$D$40*Loads!$I$40</f>
        <v/>
      </c>
      <c r="L40" s="3">
        <f>Loads!$F$40+Loads!$I$40</f>
        <v/>
      </c>
      <c r="M40" s="3">
        <f>Loads!$G$40+Loads!$J$40</f>
        <v/>
      </c>
      <c r="N40" s="3">
        <f>Loads!$H$40+Loads!$K$40</f>
        <v/>
      </c>
    </row>
    <row r="41">
      <c r="A41" s="3">
        <f>Inputs!$A$54</f>
        <v/>
      </c>
      <c r="B41" s="3">
        <f>IF(Loads!$A$41=1,Inputs!$C$54&amp;"","")</f>
        <v/>
      </c>
      <c r="C41" s="3">
        <f>IF(Loads!$A$41=1,IF(Inputs!$D$54="boom_local",Geometry!$B$17+Inputs!$F$54*Geometry!$B$14-Inputs!$H$54*Geometry!$B$15,Inputs!$I$54+0),0)</f>
        <v/>
      </c>
      <c r="D41" s="3">
        <f>IF(Loads!$A$41=1,IF(Inputs!$D$54="boom_local",Geometry!$B$18+Inputs!$F$54*Geometry!$B$15+Inputs!$H$54*Geometry!$B$14,Inputs!$K$54+0),0)</f>
        <v/>
      </c>
      <c r="E41" s="3">
        <f>IF(Loads!$A$41=1,Inputs!$E$54+0,0)</f>
        <v/>
      </c>
      <c r="F41" s="3">
        <f>Loads!$E$41*Loads!$B$15</f>
        <v/>
      </c>
      <c r="G41" s="3">
        <f>Loads!$E$41*Loads!$B$16</f>
        <v/>
      </c>
      <c r="H41" s="3">
        <f>Loads!$C$41*Loads!$G$41-Loads!$D$41*Loads!$F$41</f>
        <v/>
      </c>
      <c r="I41" s="3">
        <f>-Loads!$E$41*(Loads!$B$17+Loads!$B$19*(Loads!$D$41-Loads!$B$14))</f>
        <v/>
      </c>
      <c r="J41" s="3">
        <f>-Loads!$E$41*(Loads!$B$18-Loads!$B$19*(Loads!$C$41-Loads!$B$13))</f>
        <v/>
      </c>
      <c r="K41" s="3">
        <f>Loads!$C$41*Loads!$J$41-Loads!$D$41*Loads!$I$41</f>
        <v/>
      </c>
      <c r="L41" s="3">
        <f>Loads!$F$41+Loads!$I$41</f>
        <v/>
      </c>
      <c r="M41" s="3">
        <f>Loads!$G$41+Loads!$J$41</f>
        <v/>
      </c>
      <c r="N41" s="3">
        <f>Loads!$H$41+Loads!$K$41</f>
        <v/>
      </c>
    </row>
    <row r="42">
      <c r="A42" s="3">
        <f>Inputs!$A$55</f>
        <v/>
      </c>
      <c r="B42" s="3">
        <f>IF(Loads!$A$42=1,Inputs!$C$55&amp;"","")</f>
        <v/>
      </c>
      <c r="C42" s="3">
        <f>IF(Loads!$A$42=1,IF(Inputs!$D$55="boom_local",Geometry!$B$17+Inputs!$F$55*Geometry!$B$14-Inputs!$H$55*Geometry!$B$15,Inputs!$I$55+0),0)</f>
        <v/>
      </c>
      <c r="D42" s="3">
        <f>IF(Loads!$A$42=1,IF(Inputs!$D$55="boom_local",Geometry!$B$18+Inputs!$F$55*Geometry!$B$15+Inputs!$H$55*Geometry!$B$14,Inputs!$K$55+0),0)</f>
        <v/>
      </c>
      <c r="E42" s="3">
        <f>IF(Loads!$A$42=1,Inputs!$E$55+0,0)</f>
        <v/>
      </c>
      <c r="F42" s="3">
        <f>Loads!$E$42*Loads!$B$15</f>
        <v/>
      </c>
      <c r="G42" s="3">
        <f>Loads!$E$42*Loads!$B$16</f>
        <v/>
      </c>
      <c r="H42" s="3">
        <f>Loads!$C$42*Loads!$G$42-Loads!$D$42*Loads!$F$42</f>
        <v/>
      </c>
      <c r="I42" s="3">
        <f>-Loads!$E$42*(Loads!$B$17+Loads!$B$19*(Loads!$D$42-Loads!$B$14))</f>
        <v/>
      </c>
      <c r="J42" s="3">
        <f>-Loads!$E$42*(Loads!$B$18-Loads!$B$19*(Loads!$C$42-Loads!$B$13))</f>
        <v/>
      </c>
      <c r="K42" s="3">
        <f>Loads!$C$42*Loads!$J$42-Loads!$D$42*Loads!$I$42</f>
        <v/>
      </c>
      <c r="L42" s="3">
        <f>Loads!$F$42+Loads!$I$42</f>
        <v/>
      </c>
      <c r="M42" s="3">
        <f>Loads!$G$42+Loads!$J$42</f>
        <v/>
      </c>
      <c r="N42" s="3">
        <f>Loads!$H$42+Loads!$K$42</f>
        <v/>
      </c>
    </row>
    <row r="43">
      <c r="A43" s="3">
        <f>Inputs!$A$56</f>
        <v/>
      </c>
      <c r="B43" s="3">
        <f>IF(Loads!$A$43=1,Inputs!$C$56&amp;"","")</f>
        <v/>
      </c>
      <c r="C43" s="3">
        <f>IF(Loads!$A$43=1,IF(Inputs!$D$56="boom_local",Geometry!$B$17+Inputs!$F$56*Geometry!$B$14-Inputs!$H$56*Geometry!$B$15,Inputs!$I$56+0),0)</f>
        <v/>
      </c>
      <c r="D43" s="3">
        <f>IF(Loads!$A$43=1,IF(Inputs!$D$56="boom_local",Geometry!$B$18+Inputs!$F$56*Geometry!$B$15+Inputs!$H$56*Geometry!$B$14,Inputs!$K$56+0),0)</f>
        <v/>
      </c>
      <c r="E43" s="3">
        <f>IF(Loads!$A$43=1,Inputs!$E$56+0,0)</f>
        <v/>
      </c>
      <c r="F43" s="3">
        <f>Loads!$E$43*Loads!$B$15</f>
        <v/>
      </c>
      <c r="G43" s="3">
        <f>Loads!$E$43*Loads!$B$16</f>
        <v/>
      </c>
      <c r="H43" s="3">
        <f>Loads!$C$43*Loads!$G$43-Loads!$D$43*Loads!$F$43</f>
        <v/>
      </c>
      <c r="I43" s="3">
        <f>-Loads!$E$43*(Loads!$B$17+Loads!$B$19*(Loads!$D$43-Loads!$B$14))</f>
        <v/>
      </c>
      <c r="J43" s="3">
        <f>-Loads!$E$43*(Loads!$B$18-Loads!$B$19*(Loads!$C$43-Loads!$B$13))</f>
        <v/>
      </c>
      <c r="K43" s="3">
        <f>Loads!$C$43*Loads!$J$43-Loads!$D$43*Loads!$I$43</f>
        <v/>
      </c>
      <c r="L43" s="3">
        <f>Loads!$F$43+Loads!$I$43</f>
        <v/>
      </c>
      <c r="M43" s="3">
        <f>Loads!$G$43+Loads!$J$43</f>
        <v/>
      </c>
      <c r="N43" s="3">
        <f>Loads!$H$43+Loads!$K$43</f>
        <v/>
      </c>
    </row>
    <row r="44">
      <c r="A44" s="3">
        <f>Inputs!$A$57</f>
        <v/>
      </c>
      <c r="B44" s="3">
        <f>IF(Loads!$A$44=1,Inputs!$C$57&amp;"","")</f>
        <v/>
      </c>
      <c r="C44" s="3">
        <f>IF(Loads!$A$44=1,IF(Inputs!$D$57="boom_local",Geometry!$B$17+Inputs!$F$57*Geometry!$B$14-Inputs!$H$57*Geometry!$B$15,Inputs!$I$57+0),0)</f>
        <v/>
      </c>
      <c r="D44" s="3">
        <f>IF(Loads!$A$44=1,IF(Inputs!$D$57="boom_local",Geometry!$B$18+Inputs!$F$57*Geometry!$B$15+Inputs!$H$57*Geometry!$B$14,Inputs!$K$57+0),0)</f>
        <v/>
      </c>
      <c r="E44" s="3">
        <f>IF(Loads!$A$44=1,Inputs!$E$57+0,0)</f>
        <v/>
      </c>
      <c r="F44" s="3">
        <f>Loads!$E$44*Loads!$B$15</f>
        <v/>
      </c>
      <c r="G44" s="3">
        <f>Loads!$E$44*Loads!$B$16</f>
        <v/>
      </c>
      <c r="H44" s="3">
        <f>Loads!$C$44*Loads!$G$44-Loads!$D$44*Loads!$F$44</f>
        <v/>
      </c>
      <c r="I44" s="3">
        <f>-Loads!$E$44*(Loads!$B$17+Loads!$B$19*(Loads!$D$44-Loads!$B$14))</f>
        <v/>
      </c>
      <c r="J44" s="3">
        <f>-Loads!$E$44*(Loads!$B$18-Loads!$B$19*(Loads!$C$44-Loads!$B$13))</f>
        <v/>
      </c>
      <c r="K44" s="3">
        <f>Loads!$C$44*Loads!$J$44-Loads!$D$44*Loads!$I$44</f>
        <v/>
      </c>
      <c r="L44" s="3">
        <f>Loads!$F$44+Loads!$I$44</f>
        <v/>
      </c>
      <c r="M44" s="3">
        <f>Loads!$G$44+Loads!$J$44</f>
        <v/>
      </c>
      <c r="N44" s="3">
        <f>Loads!$H$44+Loads!$K$44</f>
        <v/>
      </c>
    </row>
    <row r="45">
      <c r="A45" s="3">
        <f>Inputs!$A$58</f>
        <v/>
      </c>
      <c r="B45" s="3">
        <f>IF(Loads!$A$45=1,Inputs!$C$58&amp;"","")</f>
        <v/>
      </c>
      <c r="C45" s="3">
        <f>IF(Loads!$A$45=1,IF(Inputs!$D$58="boom_local",Geometry!$B$17+Inputs!$F$58*Geometry!$B$14-Inputs!$H$58*Geometry!$B$15,Inputs!$I$58+0),0)</f>
        <v/>
      </c>
      <c r="D45" s="3">
        <f>IF(Loads!$A$45=1,IF(Inputs!$D$58="boom_local",Geometry!$B$18+Inputs!$F$58*Geometry!$B$15+Inputs!$H$58*Geometry!$B$14,Inputs!$K$58+0),0)</f>
        <v/>
      </c>
      <c r="E45" s="3">
        <f>IF(Loads!$A$45=1,Inputs!$E$58+0,0)</f>
        <v/>
      </c>
      <c r="F45" s="3">
        <f>Loads!$E$45*Loads!$B$15</f>
        <v/>
      </c>
      <c r="G45" s="3">
        <f>Loads!$E$45*Loads!$B$16</f>
        <v/>
      </c>
      <c r="H45" s="3">
        <f>Loads!$C$45*Loads!$G$45-Loads!$D$45*Loads!$F$45</f>
        <v/>
      </c>
      <c r="I45" s="3">
        <f>-Loads!$E$45*(Loads!$B$17+Loads!$B$19*(Loads!$D$45-Loads!$B$14))</f>
        <v/>
      </c>
      <c r="J45" s="3">
        <f>-Loads!$E$45*(Loads!$B$18-Loads!$B$19*(Loads!$C$45-Loads!$B$13))</f>
        <v/>
      </c>
      <c r="K45" s="3">
        <f>Loads!$C$45*Loads!$J$45-Loads!$D$45*Loads!$I$45</f>
        <v/>
      </c>
      <c r="L45" s="3">
        <f>Loads!$F$45+Loads!$I$45</f>
        <v/>
      </c>
      <c r="M45" s="3">
        <f>Loads!$G$45+Loads!$J$45</f>
        <v/>
      </c>
      <c r="N45" s="3">
        <f>Loads!$H$45+Loads!$K$45</f>
        <v/>
      </c>
    </row>
    <row r="46">
      <c r="A46" s="3">
        <f>Inputs!$A$59</f>
        <v/>
      </c>
      <c r="B46" s="3">
        <f>IF(Loads!$A$46=1,Inputs!$C$59&amp;"","")</f>
        <v/>
      </c>
      <c r="C46" s="3">
        <f>IF(Loads!$A$46=1,IF(Inputs!$D$59="boom_local",Geometry!$B$17+Inputs!$F$59*Geometry!$B$14-Inputs!$H$59*Geometry!$B$15,Inputs!$I$59+0),0)</f>
        <v/>
      </c>
      <c r="D46" s="3">
        <f>IF(Loads!$A$46=1,IF(Inputs!$D$59="boom_local",Geometry!$B$18+Inputs!$F$59*Geometry!$B$15+Inputs!$H$59*Geometry!$B$14,Inputs!$K$59+0),0)</f>
        <v/>
      </c>
      <c r="E46" s="3">
        <f>IF(Loads!$A$46=1,Inputs!$E$59+0,0)</f>
        <v/>
      </c>
      <c r="F46" s="3">
        <f>Loads!$E$46*Loads!$B$15</f>
        <v/>
      </c>
      <c r="G46" s="3">
        <f>Loads!$E$46*Loads!$B$16</f>
        <v/>
      </c>
      <c r="H46" s="3">
        <f>Loads!$C$46*Loads!$G$46-Loads!$D$46*Loads!$F$46</f>
        <v/>
      </c>
      <c r="I46" s="3">
        <f>-Loads!$E$46*(Loads!$B$17+Loads!$B$19*(Loads!$D$46-Loads!$B$14))</f>
        <v/>
      </c>
      <c r="J46" s="3">
        <f>-Loads!$E$46*(Loads!$B$18-Loads!$B$19*(Loads!$C$46-Loads!$B$13))</f>
        <v/>
      </c>
      <c r="K46" s="3">
        <f>Loads!$C$46*Loads!$J$46-Loads!$D$46*Loads!$I$46</f>
        <v/>
      </c>
      <c r="L46" s="3">
        <f>Loads!$F$46+Loads!$I$46</f>
        <v/>
      </c>
      <c r="M46" s="3">
        <f>Loads!$G$46+Loads!$J$46</f>
        <v/>
      </c>
      <c r="N46" s="3">
        <f>Loads!$H$46+Loads!$K$46</f>
        <v/>
      </c>
    </row>
    <row r="47">
      <c r="A47" s="3">
        <f>Inputs!$A$60</f>
        <v/>
      </c>
      <c r="B47" s="3">
        <f>IF(Loads!$A$47=1,Inputs!$C$60&amp;"","")</f>
        <v/>
      </c>
      <c r="C47" s="3">
        <f>IF(Loads!$A$47=1,IF(Inputs!$D$60="boom_local",Geometry!$B$17+Inputs!$F$60*Geometry!$B$14-Inputs!$H$60*Geometry!$B$15,Inputs!$I$60+0),0)</f>
        <v/>
      </c>
      <c r="D47" s="3">
        <f>IF(Loads!$A$47=1,IF(Inputs!$D$60="boom_local",Geometry!$B$18+Inputs!$F$60*Geometry!$B$15+Inputs!$H$60*Geometry!$B$14,Inputs!$K$60+0),0)</f>
        <v/>
      </c>
      <c r="E47" s="3">
        <f>IF(Loads!$A$47=1,Inputs!$E$60+0,0)</f>
        <v/>
      </c>
      <c r="F47" s="3">
        <f>Loads!$E$47*Loads!$B$15</f>
        <v/>
      </c>
      <c r="G47" s="3">
        <f>Loads!$E$47*Loads!$B$16</f>
        <v/>
      </c>
      <c r="H47" s="3">
        <f>Loads!$C$47*Loads!$G$47-Loads!$D$47*Loads!$F$47</f>
        <v/>
      </c>
      <c r="I47" s="3">
        <f>-Loads!$E$47*(Loads!$B$17+Loads!$B$19*(Loads!$D$47-Loads!$B$14))</f>
        <v/>
      </c>
      <c r="J47" s="3">
        <f>-Loads!$E$47*(Loads!$B$18-Loads!$B$19*(Loads!$C$47-Loads!$B$13))</f>
        <v/>
      </c>
      <c r="K47" s="3">
        <f>Loads!$C$47*Loads!$J$47-Loads!$D$47*Loads!$I$47</f>
        <v/>
      </c>
      <c r="L47" s="3">
        <f>Loads!$F$47+Loads!$I$47</f>
        <v/>
      </c>
      <c r="M47" s="3">
        <f>Loads!$G$47+Loads!$J$47</f>
        <v/>
      </c>
      <c r="N47" s="3">
        <f>Loads!$H$47+Loads!$K$47</f>
        <v/>
      </c>
    </row>
    <row r="48">
      <c r="A48" s="3">
        <f>Inputs!$A$61</f>
        <v/>
      </c>
      <c r="B48" s="3">
        <f>IF(Loads!$A$48=1,Inputs!$C$61&amp;"","")</f>
        <v/>
      </c>
      <c r="C48" s="3">
        <f>IF(Loads!$A$48=1,IF(Inputs!$D$61="boom_local",Geometry!$B$17+Inputs!$F$61*Geometry!$B$14-Inputs!$H$61*Geometry!$B$15,Inputs!$I$61+0),0)</f>
        <v/>
      </c>
      <c r="D48" s="3">
        <f>IF(Loads!$A$48=1,IF(Inputs!$D$61="boom_local",Geometry!$B$18+Inputs!$F$61*Geometry!$B$15+Inputs!$H$61*Geometry!$B$14,Inputs!$K$61+0),0)</f>
        <v/>
      </c>
      <c r="E48" s="3">
        <f>IF(Loads!$A$48=1,Inputs!$E$61+0,0)</f>
        <v/>
      </c>
      <c r="F48" s="3">
        <f>Loads!$E$48*Loads!$B$15</f>
        <v/>
      </c>
      <c r="G48" s="3">
        <f>Loads!$E$48*Loads!$B$16</f>
        <v/>
      </c>
      <c r="H48" s="3">
        <f>Loads!$C$48*Loads!$G$48-Loads!$D$48*Loads!$F$48</f>
        <v/>
      </c>
      <c r="I48" s="3">
        <f>-Loads!$E$48*(Loads!$B$17+Loads!$B$19*(Loads!$D$48-Loads!$B$14))</f>
        <v/>
      </c>
      <c r="J48" s="3">
        <f>-Loads!$E$48*(Loads!$B$18-Loads!$B$19*(Loads!$C$48-Loads!$B$13))</f>
        <v/>
      </c>
      <c r="K48" s="3">
        <f>Loads!$C$48*Loads!$J$48-Loads!$D$48*Loads!$I$48</f>
        <v/>
      </c>
      <c r="L48" s="3">
        <f>Loads!$F$48+Loads!$I$48</f>
        <v/>
      </c>
      <c r="M48" s="3">
        <f>Loads!$G$48+Loads!$J$48</f>
        <v/>
      </c>
      <c r="N48" s="3">
        <f>Loads!$H$48+Loads!$K$48</f>
        <v/>
      </c>
    </row>
    <row r="49">
      <c r="A49" s="3">
        <f>Inputs!$A$62</f>
        <v/>
      </c>
      <c r="B49" s="3">
        <f>IF(Loads!$A$49=1,Inputs!$C$62&amp;"","")</f>
        <v/>
      </c>
      <c r="C49" s="3">
        <f>IF(Loads!$A$49=1,IF(Inputs!$D$62="boom_local",Geometry!$B$17+Inputs!$F$62*Geometry!$B$14-Inputs!$H$62*Geometry!$B$15,Inputs!$I$62+0),0)</f>
        <v/>
      </c>
      <c r="D49" s="3">
        <f>IF(Loads!$A$49=1,IF(Inputs!$D$62="boom_local",Geometry!$B$18+Inputs!$F$62*Geometry!$B$15+Inputs!$H$62*Geometry!$B$14,Inputs!$K$62+0),0)</f>
        <v/>
      </c>
      <c r="E49" s="3">
        <f>IF(Loads!$A$49=1,Inputs!$E$62+0,0)</f>
        <v/>
      </c>
      <c r="F49" s="3">
        <f>Loads!$E$49*Loads!$B$15</f>
        <v/>
      </c>
      <c r="G49" s="3">
        <f>Loads!$E$49*Loads!$B$16</f>
        <v/>
      </c>
      <c r="H49" s="3">
        <f>Loads!$C$49*Loads!$G$49-Loads!$D$49*Loads!$F$49</f>
        <v/>
      </c>
      <c r="I49" s="3">
        <f>-Loads!$E$49*(Loads!$B$17+Loads!$B$19*(Loads!$D$49-Loads!$B$14))</f>
        <v/>
      </c>
      <c r="J49" s="3">
        <f>-Loads!$E$49*(Loads!$B$18-Loads!$B$19*(Loads!$C$49-Loads!$B$13))</f>
        <v/>
      </c>
      <c r="K49" s="3">
        <f>Loads!$C$49*Loads!$J$49-Loads!$D$49*Loads!$I$49</f>
        <v/>
      </c>
      <c r="L49" s="3">
        <f>Loads!$F$49+Loads!$I$49</f>
        <v/>
      </c>
      <c r="M49" s="3">
        <f>Loads!$G$49+Loads!$J$49</f>
        <v/>
      </c>
      <c r="N49" s="3">
        <f>Loads!$H$49+Loads!$K$49</f>
        <v/>
      </c>
    </row>
    <row r="50">
      <c r="A50" s="3">
        <f>Inputs!$A$63</f>
        <v/>
      </c>
      <c r="B50" s="3">
        <f>IF(Loads!$A$50=1,Inputs!$C$63&amp;"","")</f>
        <v/>
      </c>
      <c r="C50" s="3">
        <f>IF(Loads!$A$50=1,IF(Inputs!$D$63="boom_local",Geometry!$B$17+Inputs!$F$63*Geometry!$B$14-Inputs!$H$63*Geometry!$B$15,Inputs!$I$63+0),0)</f>
        <v/>
      </c>
      <c r="D50" s="3">
        <f>IF(Loads!$A$50=1,IF(Inputs!$D$63="boom_local",Geometry!$B$18+Inputs!$F$63*Geometry!$B$15+Inputs!$H$63*Geometry!$B$14,Inputs!$K$63+0),0)</f>
        <v/>
      </c>
      <c r="E50" s="3">
        <f>IF(Loads!$A$50=1,Inputs!$E$63+0,0)</f>
        <v/>
      </c>
      <c r="F50" s="3">
        <f>Loads!$E$50*Loads!$B$15</f>
        <v/>
      </c>
      <c r="G50" s="3">
        <f>Loads!$E$50*Loads!$B$16</f>
        <v/>
      </c>
      <c r="H50" s="3">
        <f>Loads!$C$50*Loads!$G$50-Loads!$D$50*Loads!$F$50</f>
        <v/>
      </c>
      <c r="I50" s="3">
        <f>-Loads!$E$50*(Loads!$B$17+Loads!$B$19*(Loads!$D$50-Loads!$B$14))</f>
        <v/>
      </c>
      <c r="J50" s="3">
        <f>-Loads!$E$50*(Loads!$B$18-Loads!$B$19*(Loads!$C$50-Loads!$B$13))</f>
        <v/>
      </c>
      <c r="K50" s="3">
        <f>Loads!$C$50*Loads!$J$50-Loads!$D$50*Loads!$I$50</f>
        <v/>
      </c>
      <c r="L50" s="3">
        <f>Loads!$F$50+Loads!$I$50</f>
        <v/>
      </c>
      <c r="M50" s="3">
        <f>Loads!$G$50+Loads!$J$50</f>
        <v/>
      </c>
      <c r="N50" s="3">
        <f>Loads!$H$50+Loads!$K$50</f>
        <v/>
      </c>
    </row>
    <row r="51">
      <c r="A51" s="3">
        <f>Inputs!$A$64</f>
        <v/>
      </c>
      <c r="B51" s="3">
        <f>IF(Loads!$A$51=1,Inputs!$C$64&amp;"","")</f>
        <v/>
      </c>
      <c r="C51" s="3">
        <f>IF(Loads!$A$51=1,IF(Inputs!$D$64="boom_local",Geometry!$B$17+Inputs!$F$64*Geometry!$B$14-Inputs!$H$64*Geometry!$B$15,Inputs!$I$64+0),0)</f>
        <v/>
      </c>
      <c r="D51" s="3">
        <f>IF(Loads!$A$51=1,IF(Inputs!$D$64="boom_local",Geometry!$B$18+Inputs!$F$64*Geometry!$B$15+Inputs!$H$64*Geometry!$B$14,Inputs!$K$64+0),0)</f>
        <v/>
      </c>
      <c r="E51" s="3">
        <f>IF(Loads!$A$51=1,Inputs!$E$64+0,0)</f>
        <v/>
      </c>
      <c r="F51" s="3">
        <f>Loads!$E$51*Loads!$B$15</f>
        <v/>
      </c>
      <c r="G51" s="3">
        <f>Loads!$E$51*Loads!$B$16</f>
        <v/>
      </c>
      <c r="H51" s="3">
        <f>Loads!$C$51*Loads!$G$51-Loads!$D$51*Loads!$F$51</f>
        <v/>
      </c>
      <c r="I51" s="3">
        <f>-Loads!$E$51*(Loads!$B$17+Loads!$B$19*(Loads!$D$51-Loads!$B$14))</f>
        <v/>
      </c>
      <c r="J51" s="3">
        <f>-Loads!$E$51*(Loads!$B$18-Loads!$B$19*(Loads!$C$51-Loads!$B$13))</f>
        <v/>
      </c>
      <c r="K51" s="3">
        <f>Loads!$C$51*Loads!$J$51-Loads!$D$51*Loads!$I$51</f>
        <v/>
      </c>
      <c r="L51" s="3">
        <f>Loads!$F$51+Loads!$I$51</f>
        <v/>
      </c>
      <c r="M51" s="3">
        <f>Loads!$G$51+Loads!$J$51</f>
        <v/>
      </c>
      <c r="N51" s="3">
        <f>Loads!$H$51+Loads!$K$51</f>
        <v/>
      </c>
    </row>
    <row r="52">
      <c r="A52" s="3">
        <f>Inputs!$A$65</f>
        <v/>
      </c>
      <c r="B52" s="3">
        <f>IF(Loads!$A$52=1,Inputs!$C$65&amp;"","")</f>
        <v/>
      </c>
      <c r="C52" s="3">
        <f>IF(Loads!$A$52=1,IF(Inputs!$D$65="boom_local",Geometry!$B$17+Inputs!$F$65*Geometry!$B$14-Inputs!$H$65*Geometry!$B$15,Inputs!$I$65+0),0)</f>
        <v/>
      </c>
      <c r="D52" s="3">
        <f>IF(Loads!$A$52=1,IF(Inputs!$D$65="boom_local",Geometry!$B$18+Inputs!$F$65*Geometry!$B$15+Inputs!$H$65*Geometry!$B$14,Inputs!$K$65+0),0)</f>
        <v/>
      </c>
      <c r="E52" s="3">
        <f>IF(Loads!$A$52=1,Inputs!$E$65+0,0)</f>
        <v/>
      </c>
      <c r="F52" s="3">
        <f>Loads!$E$52*Loads!$B$15</f>
        <v/>
      </c>
      <c r="G52" s="3">
        <f>Loads!$E$52*Loads!$B$16</f>
        <v/>
      </c>
      <c r="H52" s="3">
        <f>Loads!$C$52*Loads!$G$52-Loads!$D$52*Loads!$F$52</f>
        <v/>
      </c>
      <c r="I52" s="3">
        <f>-Loads!$E$52*(Loads!$B$17+Loads!$B$19*(Loads!$D$52-Loads!$B$14))</f>
        <v/>
      </c>
      <c r="J52" s="3">
        <f>-Loads!$E$52*(Loads!$B$18-Loads!$B$19*(Loads!$C$52-Loads!$B$13))</f>
        <v/>
      </c>
      <c r="K52" s="3">
        <f>Loads!$C$52*Loads!$J$52-Loads!$D$52*Loads!$I$52</f>
        <v/>
      </c>
      <c r="L52" s="3">
        <f>Loads!$F$52+Loads!$I$52</f>
        <v/>
      </c>
      <c r="M52" s="3">
        <f>Loads!$G$52+Loads!$J$52</f>
        <v/>
      </c>
      <c r="N52" s="3">
        <f>Loads!$H$52+Loads!$K$52</f>
        <v/>
      </c>
    </row>
    <row r="53">
      <c r="A53" s="3">
        <f>Inputs!$A$66</f>
        <v/>
      </c>
      <c r="B53" s="3">
        <f>IF(Loads!$A$53=1,Inputs!$C$66&amp;"","")</f>
        <v/>
      </c>
      <c r="C53" s="3">
        <f>IF(Loads!$A$53=1,IF(Inputs!$D$66="boom_local",Geometry!$B$17+Inputs!$F$66*Geometry!$B$14-Inputs!$H$66*Geometry!$B$15,Inputs!$I$66+0),0)</f>
        <v/>
      </c>
      <c r="D53" s="3">
        <f>IF(Loads!$A$53=1,IF(Inputs!$D$66="boom_local",Geometry!$B$18+Inputs!$F$66*Geometry!$B$15+Inputs!$H$66*Geometry!$B$14,Inputs!$K$66+0),0)</f>
        <v/>
      </c>
      <c r="E53" s="3">
        <f>IF(Loads!$A$53=1,Inputs!$E$66+0,0)</f>
        <v/>
      </c>
      <c r="F53" s="3">
        <f>Loads!$E$53*Loads!$B$15</f>
        <v/>
      </c>
      <c r="G53" s="3">
        <f>Loads!$E$53*Loads!$B$16</f>
        <v/>
      </c>
      <c r="H53" s="3">
        <f>Loads!$C$53*Loads!$G$53-Loads!$D$53*Loads!$F$53</f>
        <v/>
      </c>
      <c r="I53" s="3">
        <f>-Loads!$E$53*(Loads!$B$17+Loads!$B$19*(Loads!$D$53-Loads!$B$14))</f>
        <v/>
      </c>
      <c r="J53" s="3">
        <f>-Loads!$E$53*(Loads!$B$18-Loads!$B$19*(Loads!$C$53-Loads!$B$13))</f>
        <v/>
      </c>
      <c r="K53" s="3">
        <f>Loads!$C$53*Loads!$J$53-Loads!$D$53*Loads!$I$53</f>
        <v/>
      </c>
      <c r="L53" s="3">
        <f>Loads!$F$53+Loads!$I$53</f>
        <v/>
      </c>
      <c r="M53" s="3">
        <f>Loads!$G$53+Loads!$J$53</f>
        <v/>
      </c>
      <c r="N53" s="3">
        <f>Loads!$H$53+Loads!$K$53</f>
        <v/>
      </c>
    </row>
    <row r="54">
      <c r="A54" s="3">
        <f>Inputs!$A$67</f>
        <v/>
      </c>
      <c r="B54" s="3">
        <f>IF(Loads!$A$54=1,Inputs!$C$67&amp;"","")</f>
        <v/>
      </c>
      <c r="C54" s="3">
        <f>IF(Loads!$A$54=1,IF(Inputs!$D$67="boom_local",Geometry!$B$17+Inputs!$F$67*Geometry!$B$14-Inputs!$H$67*Geometry!$B$15,Inputs!$I$67+0),0)</f>
        <v/>
      </c>
      <c r="D54" s="3">
        <f>IF(Loads!$A$54=1,IF(Inputs!$D$67="boom_local",Geometry!$B$18+Inputs!$F$67*Geometry!$B$15+Inputs!$H$67*Geometry!$B$14,Inputs!$K$67+0),0)</f>
        <v/>
      </c>
      <c r="E54" s="3">
        <f>IF(Loads!$A$54=1,Inputs!$E$67+0,0)</f>
        <v/>
      </c>
      <c r="F54" s="3">
        <f>Loads!$E$54*Loads!$B$15</f>
        <v/>
      </c>
      <c r="G54" s="3">
        <f>Loads!$E$54*Loads!$B$16</f>
        <v/>
      </c>
      <c r="H54" s="3">
        <f>Loads!$C$54*Loads!$G$54-Loads!$D$54*Loads!$F$54</f>
        <v/>
      </c>
      <c r="I54" s="3">
        <f>-Loads!$E$54*(Loads!$B$17+Loads!$B$19*(Loads!$D$54-Loads!$B$14))</f>
        <v/>
      </c>
      <c r="J54" s="3">
        <f>-Loads!$E$54*(Loads!$B$18-Loads!$B$19*(Loads!$C$54-Loads!$B$13))</f>
        <v/>
      </c>
      <c r="K54" s="3">
        <f>Loads!$C$54*Loads!$J$54-Loads!$D$54*Loads!$I$54</f>
        <v/>
      </c>
      <c r="L54" s="3">
        <f>Loads!$F$54+Loads!$I$54</f>
        <v/>
      </c>
      <c r="M54" s="3">
        <f>Loads!$G$54+Loads!$J$54</f>
        <v/>
      </c>
      <c r="N54" s="3">
        <f>Loads!$H$54+Loads!$K$54</f>
        <v/>
      </c>
    </row>
    <row r="55">
      <c r="A55" s="3">
        <f>Inputs!$A$68</f>
        <v/>
      </c>
      <c r="B55" s="3">
        <f>IF(Loads!$A$55=1,Inputs!$C$68&amp;"","")</f>
        <v/>
      </c>
      <c r="C55" s="3">
        <f>IF(Loads!$A$55=1,IF(Inputs!$D$68="boom_local",Geometry!$B$17+Inputs!$F$68*Geometry!$B$14-Inputs!$H$68*Geometry!$B$15,Inputs!$I$68+0),0)</f>
        <v/>
      </c>
      <c r="D55" s="3">
        <f>IF(Loads!$A$55=1,IF(Inputs!$D$68="boom_local",Geometry!$B$18+Inputs!$F$68*Geometry!$B$15+Inputs!$H$68*Geometry!$B$14,Inputs!$K$68+0),0)</f>
        <v/>
      </c>
      <c r="E55" s="3">
        <f>IF(Loads!$A$55=1,Inputs!$E$68+0,0)</f>
        <v/>
      </c>
      <c r="F55" s="3">
        <f>Loads!$E$55*Loads!$B$15</f>
        <v/>
      </c>
      <c r="G55" s="3">
        <f>Loads!$E$55*Loads!$B$16</f>
        <v/>
      </c>
      <c r="H55" s="3">
        <f>Loads!$C$55*Loads!$G$55-Loads!$D$55*Loads!$F$55</f>
        <v/>
      </c>
      <c r="I55" s="3">
        <f>-Loads!$E$55*(Loads!$B$17+Loads!$B$19*(Loads!$D$55-Loads!$B$14))</f>
        <v/>
      </c>
      <c r="J55" s="3">
        <f>-Loads!$E$55*(Loads!$B$18-Loads!$B$19*(Loads!$C$55-Loads!$B$13))</f>
        <v/>
      </c>
      <c r="K55" s="3">
        <f>Loads!$C$55*Loads!$J$55-Loads!$D$55*Loads!$I$55</f>
        <v/>
      </c>
      <c r="L55" s="3">
        <f>Loads!$F$55+Loads!$I$55</f>
        <v/>
      </c>
      <c r="M55" s="3">
        <f>Loads!$G$55+Loads!$J$55</f>
        <v/>
      </c>
      <c r="N55" s="3">
        <f>Loads!$H$55+Loads!$K$55</f>
        <v/>
      </c>
    </row>
    <row r="56">
      <c r="A56" s="3">
        <f>Inputs!$A$69</f>
        <v/>
      </c>
      <c r="B56" s="3">
        <f>IF(Loads!$A$56=1,Inputs!$C$69&amp;"","")</f>
        <v/>
      </c>
      <c r="C56" s="3">
        <f>IF(Loads!$A$56=1,IF(Inputs!$D$69="boom_local",Geometry!$B$17+Inputs!$F$69*Geometry!$B$14-Inputs!$H$69*Geometry!$B$15,Inputs!$I$69+0),0)</f>
        <v/>
      </c>
      <c r="D56" s="3">
        <f>IF(Loads!$A$56=1,IF(Inputs!$D$69="boom_local",Geometry!$B$18+Inputs!$F$69*Geometry!$B$15+Inputs!$H$69*Geometry!$B$14,Inputs!$K$69+0),0)</f>
        <v/>
      </c>
      <c r="E56" s="3">
        <f>IF(Loads!$A$56=1,Inputs!$E$69+0,0)</f>
        <v/>
      </c>
      <c r="F56" s="3">
        <f>Loads!$E$56*Loads!$B$15</f>
        <v/>
      </c>
      <c r="G56" s="3">
        <f>Loads!$E$56*Loads!$B$16</f>
        <v/>
      </c>
      <c r="H56" s="3">
        <f>Loads!$C$56*Loads!$G$56-Loads!$D$56*Loads!$F$56</f>
        <v/>
      </c>
      <c r="I56" s="3">
        <f>-Loads!$E$56*(Loads!$B$17+Loads!$B$19*(Loads!$D$56-Loads!$B$14))</f>
        <v/>
      </c>
      <c r="J56" s="3">
        <f>-Loads!$E$56*(Loads!$B$18-Loads!$B$19*(Loads!$C$56-Loads!$B$13))</f>
        <v/>
      </c>
      <c r="K56" s="3">
        <f>Loads!$C$56*Loads!$J$56-Loads!$D$56*Loads!$I$56</f>
        <v/>
      </c>
      <c r="L56" s="3">
        <f>Loads!$F$56+Loads!$I$56</f>
        <v/>
      </c>
      <c r="M56" s="3">
        <f>Loads!$G$56+Loads!$J$56</f>
        <v/>
      </c>
      <c r="N56" s="3">
        <f>Loads!$H$56+Loads!$K$56</f>
        <v/>
      </c>
    </row>
    <row r="57">
      <c r="A57" s="3">
        <f>Inputs!$A$70</f>
        <v/>
      </c>
      <c r="B57" s="3">
        <f>IF(Loads!$A$57=1,Inputs!$C$70&amp;"","")</f>
        <v/>
      </c>
      <c r="C57" s="3">
        <f>IF(Loads!$A$57=1,IF(Inputs!$D$70="boom_local",Geometry!$B$17+Inputs!$F$70*Geometry!$B$14-Inputs!$H$70*Geometry!$B$15,Inputs!$I$70+0),0)</f>
        <v/>
      </c>
      <c r="D57" s="3">
        <f>IF(Loads!$A$57=1,IF(Inputs!$D$70="boom_local",Geometry!$B$18+Inputs!$F$70*Geometry!$B$15+Inputs!$H$70*Geometry!$B$14,Inputs!$K$70+0),0)</f>
        <v/>
      </c>
      <c r="E57" s="3">
        <f>IF(Loads!$A$57=1,Inputs!$E$70+0,0)</f>
        <v/>
      </c>
      <c r="F57" s="3">
        <f>Loads!$E$57*Loads!$B$15</f>
        <v/>
      </c>
      <c r="G57" s="3">
        <f>Loads!$E$57*Loads!$B$16</f>
        <v/>
      </c>
      <c r="H57" s="3">
        <f>Loads!$C$57*Loads!$G$57-Loads!$D$57*Loads!$F$57</f>
        <v/>
      </c>
      <c r="I57" s="3">
        <f>-Loads!$E$57*(Loads!$B$17+Loads!$B$19*(Loads!$D$57-Loads!$B$14))</f>
        <v/>
      </c>
      <c r="J57" s="3">
        <f>-Loads!$E$57*(Loads!$B$18-Loads!$B$19*(Loads!$C$57-Loads!$B$13))</f>
        <v/>
      </c>
      <c r="K57" s="3">
        <f>Loads!$C$57*Loads!$J$57-Loads!$D$57*Loads!$I$57</f>
        <v/>
      </c>
      <c r="L57" s="3">
        <f>Loads!$F$57+Loads!$I$57</f>
        <v/>
      </c>
      <c r="M57" s="3">
        <f>Loads!$G$57+Loads!$J$57</f>
        <v/>
      </c>
      <c r="N57" s="3">
        <f>Loads!$H$57+Loads!$K$57</f>
        <v/>
      </c>
    </row>
    <row r="58">
      <c r="A58" s="3">
        <f>Inputs!$A$71</f>
        <v/>
      </c>
      <c r="B58" s="3">
        <f>IF(Loads!$A$58=1,Inputs!$C$71&amp;"","")</f>
        <v/>
      </c>
      <c r="C58" s="3">
        <f>IF(Loads!$A$58=1,IF(Inputs!$D$71="boom_local",Geometry!$B$17+Inputs!$F$71*Geometry!$B$14-Inputs!$H$71*Geometry!$B$15,Inputs!$I$71+0),0)</f>
        <v/>
      </c>
      <c r="D58" s="3">
        <f>IF(Loads!$A$58=1,IF(Inputs!$D$71="boom_local",Geometry!$B$18+Inputs!$F$71*Geometry!$B$15+Inputs!$H$71*Geometry!$B$14,Inputs!$K$71+0),0)</f>
        <v/>
      </c>
      <c r="E58" s="3">
        <f>IF(Loads!$A$58=1,Inputs!$E$71+0,0)</f>
        <v/>
      </c>
      <c r="F58" s="3">
        <f>Loads!$E$58*Loads!$B$15</f>
        <v/>
      </c>
      <c r="G58" s="3">
        <f>Loads!$E$58*Loads!$B$16</f>
        <v/>
      </c>
      <c r="H58" s="3">
        <f>Loads!$C$58*Loads!$G$58-Loads!$D$58*Loads!$F$58</f>
        <v/>
      </c>
      <c r="I58" s="3">
        <f>-Loads!$E$58*(Loads!$B$17+Loads!$B$19*(Loads!$D$58-Loads!$B$14))</f>
        <v/>
      </c>
      <c r="J58" s="3">
        <f>-Loads!$E$58*(Loads!$B$18-Loads!$B$19*(Loads!$C$58-Loads!$B$13))</f>
        <v/>
      </c>
      <c r="K58" s="3">
        <f>Loads!$C$58*Loads!$J$58-Loads!$D$58*Loads!$I$58</f>
        <v/>
      </c>
      <c r="L58" s="3">
        <f>Loads!$F$58+Loads!$I$58</f>
        <v/>
      </c>
      <c r="M58" s="3">
        <f>Loads!$G$58+Loads!$J$58</f>
        <v/>
      </c>
      <c r="N58" s="3">
        <f>Loads!$H$58+Loads!$K$58</f>
        <v/>
      </c>
    </row>
    <row r="59">
      <c r="A59" s="3">
        <f>Inputs!$A$72</f>
        <v/>
      </c>
      <c r="B59" s="3">
        <f>IF(Loads!$A$59=1,Inputs!$C$72&amp;"","")</f>
        <v/>
      </c>
      <c r="C59" s="3">
        <f>IF(Loads!$A$59=1,IF(Inputs!$D$72="boom_local",Geometry!$B$17+Inputs!$F$72*Geometry!$B$14-Inputs!$H$72*Geometry!$B$15,Inputs!$I$72+0),0)</f>
        <v/>
      </c>
      <c r="D59" s="3">
        <f>IF(Loads!$A$59=1,IF(Inputs!$D$72="boom_local",Geometry!$B$18+Inputs!$F$72*Geometry!$B$15+Inputs!$H$72*Geometry!$B$14,Inputs!$K$72+0),0)</f>
        <v/>
      </c>
      <c r="E59" s="3">
        <f>IF(Loads!$A$59=1,Inputs!$E$72+0,0)</f>
        <v/>
      </c>
      <c r="F59" s="3">
        <f>Loads!$E$59*Loads!$B$15</f>
        <v/>
      </c>
      <c r="G59" s="3">
        <f>Loads!$E$59*Loads!$B$16</f>
        <v/>
      </c>
      <c r="H59" s="3">
        <f>Loads!$C$59*Loads!$G$59-Loads!$D$59*Loads!$F$59</f>
        <v/>
      </c>
      <c r="I59" s="3">
        <f>-Loads!$E$59*(Loads!$B$17+Loads!$B$19*(Loads!$D$59-Loads!$B$14))</f>
        <v/>
      </c>
      <c r="J59" s="3">
        <f>-Loads!$E$59*(Loads!$B$18-Loads!$B$19*(Loads!$C$59-Loads!$B$13))</f>
        <v/>
      </c>
      <c r="K59" s="3">
        <f>Loads!$C$59*Loads!$J$59-Loads!$D$59*Loads!$I$59</f>
        <v/>
      </c>
      <c r="L59" s="3">
        <f>Loads!$F$59+Loads!$I$59</f>
        <v/>
      </c>
      <c r="M59" s="3">
        <f>Loads!$G$59+Loads!$J$59</f>
        <v/>
      </c>
      <c r="N59" s="3">
        <f>Loads!$H$59+Loads!$K$59</f>
        <v/>
      </c>
    </row>
    <row r="60">
      <c r="A60" s="3">
        <f>Inputs!$A$73</f>
        <v/>
      </c>
      <c r="B60" s="3">
        <f>IF(Loads!$A$60=1,Inputs!$C$73&amp;"","")</f>
        <v/>
      </c>
      <c r="C60" s="3">
        <f>IF(Loads!$A$60=1,IF(Inputs!$D$73="boom_local",Geometry!$B$17+Inputs!$F$73*Geometry!$B$14-Inputs!$H$73*Geometry!$B$15,Inputs!$I$73+0),0)</f>
        <v/>
      </c>
      <c r="D60" s="3">
        <f>IF(Loads!$A$60=1,IF(Inputs!$D$73="boom_local",Geometry!$B$18+Inputs!$F$73*Geometry!$B$15+Inputs!$H$73*Geometry!$B$14,Inputs!$K$73+0),0)</f>
        <v/>
      </c>
      <c r="E60" s="3">
        <f>IF(Loads!$A$60=1,Inputs!$E$73+0,0)</f>
        <v/>
      </c>
      <c r="F60" s="3">
        <f>Loads!$E$60*Loads!$B$15</f>
        <v/>
      </c>
      <c r="G60" s="3">
        <f>Loads!$E$60*Loads!$B$16</f>
        <v/>
      </c>
      <c r="H60" s="3">
        <f>Loads!$C$60*Loads!$G$60-Loads!$D$60*Loads!$F$60</f>
        <v/>
      </c>
      <c r="I60" s="3">
        <f>-Loads!$E$60*(Loads!$B$17+Loads!$B$19*(Loads!$D$60-Loads!$B$14))</f>
        <v/>
      </c>
      <c r="J60" s="3">
        <f>-Loads!$E$60*(Loads!$B$18-Loads!$B$19*(Loads!$C$60-Loads!$B$13))</f>
        <v/>
      </c>
      <c r="K60" s="3">
        <f>Loads!$C$60*Loads!$J$60-Loads!$D$60*Loads!$I$60</f>
        <v/>
      </c>
      <c r="L60" s="3">
        <f>Loads!$F$60+Loads!$I$60</f>
        <v/>
      </c>
      <c r="M60" s="3">
        <f>Loads!$G$60+Loads!$J$60</f>
        <v/>
      </c>
      <c r="N60" s="3">
        <f>Loads!$H$60+Loads!$K$60</f>
        <v/>
      </c>
    </row>
    <row r="61">
      <c r="A61" s="3">
        <f>Inputs!$A$74</f>
        <v/>
      </c>
      <c r="B61" s="3">
        <f>IF(Loads!$A$61=1,Inputs!$C$74&amp;"","")</f>
        <v/>
      </c>
      <c r="C61" s="3">
        <f>IF(Loads!$A$61=1,IF(Inputs!$D$74="boom_local",Geometry!$B$17+Inputs!$F$74*Geometry!$B$14-Inputs!$H$74*Geometry!$B$15,Inputs!$I$74+0),0)</f>
        <v/>
      </c>
      <c r="D61" s="3">
        <f>IF(Loads!$A$61=1,IF(Inputs!$D$74="boom_local",Geometry!$B$18+Inputs!$F$74*Geometry!$B$15+Inputs!$H$74*Geometry!$B$14,Inputs!$K$74+0),0)</f>
        <v/>
      </c>
      <c r="E61" s="3">
        <f>IF(Loads!$A$61=1,Inputs!$E$74+0,0)</f>
        <v/>
      </c>
      <c r="F61" s="3">
        <f>Loads!$E$61*Loads!$B$15</f>
        <v/>
      </c>
      <c r="G61" s="3">
        <f>Loads!$E$61*Loads!$B$16</f>
        <v/>
      </c>
      <c r="H61" s="3">
        <f>Loads!$C$61*Loads!$G$61-Loads!$D$61*Loads!$F$61</f>
        <v/>
      </c>
      <c r="I61" s="3">
        <f>-Loads!$E$61*(Loads!$B$17+Loads!$B$19*(Loads!$D$61-Loads!$B$14))</f>
        <v/>
      </c>
      <c r="J61" s="3">
        <f>-Loads!$E$61*(Loads!$B$18-Loads!$B$19*(Loads!$C$61-Loads!$B$13))</f>
        <v/>
      </c>
      <c r="K61" s="3">
        <f>Loads!$C$61*Loads!$J$61-Loads!$D$61*Loads!$I$61</f>
        <v/>
      </c>
      <c r="L61" s="3">
        <f>Loads!$F$61+Loads!$I$61</f>
        <v/>
      </c>
      <c r="M61" s="3">
        <f>Loads!$G$61+Loads!$J$61</f>
        <v/>
      </c>
      <c r="N61" s="3">
        <f>Loads!$H$61+Loads!$K$61</f>
        <v/>
      </c>
    </row>
    <row r="62">
      <c r="A62" s="3">
        <f>Inputs!$A$75</f>
        <v/>
      </c>
      <c r="B62" s="3">
        <f>IF(Loads!$A$62=1,Inputs!$C$75&amp;"","")</f>
        <v/>
      </c>
      <c r="C62" s="3">
        <f>IF(Loads!$A$62=1,IF(Inputs!$D$75="boom_local",Geometry!$B$17+Inputs!$F$75*Geometry!$B$14-Inputs!$H$75*Geometry!$B$15,Inputs!$I$75+0),0)</f>
        <v/>
      </c>
      <c r="D62" s="3">
        <f>IF(Loads!$A$62=1,IF(Inputs!$D$75="boom_local",Geometry!$B$18+Inputs!$F$75*Geometry!$B$15+Inputs!$H$75*Geometry!$B$14,Inputs!$K$75+0),0)</f>
        <v/>
      </c>
      <c r="E62" s="3">
        <f>IF(Loads!$A$62=1,Inputs!$E$75+0,0)</f>
        <v/>
      </c>
      <c r="F62" s="3">
        <f>Loads!$E$62*Loads!$B$15</f>
        <v/>
      </c>
      <c r="G62" s="3">
        <f>Loads!$E$62*Loads!$B$16</f>
        <v/>
      </c>
      <c r="H62" s="3">
        <f>Loads!$C$62*Loads!$G$62-Loads!$D$62*Loads!$F$62</f>
        <v/>
      </c>
      <c r="I62" s="3">
        <f>-Loads!$E$62*(Loads!$B$17+Loads!$B$19*(Loads!$D$62-Loads!$B$14))</f>
        <v/>
      </c>
      <c r="J62" s="3">
        <f>-Loads!$E$62*(Loads!$B$18-Loads!$B$19*(Loads!$C$62-Loads!$B$13))</f>
        <v/>
      </c>
      <c r="K62" s="3">
        <f>Loads!$C$62*Loads!$J$62-Loads!$D$62*Loads!$I$62</f>
        <v/>
      </c>
      <c r="L62" s="3">
        <f>Loads!$F$62+Loads!$I$62</f>
        <v/>
      </c>
      <c r="M62" s="3">
        <f>Loads!$G$62+Loads!$J$62</f>
        <v/>
      </c>
      <c r="N62" s="3">
        <f>Loads!$H$62+Loads!$K$62</f>
        <v/>
      </c>
    </row>
    <row r="63">
      <c r="A63" s="3">
        <f>Inputs!$A$76</f>
        <v/>
      </c>
      <c r="B63" s="3">
        <f>IF(Loads!$A$63=1,Inputs!$C$76&amp;"","")</f>
        <v/>
      </c>
      <c r="C63" s="3">
        <f>IF(Loads!$A$63=1,IF(Inputs!$D$76="boom_local",Geometry!$B$17+Inputs!$F$76*Geometry!$B$14-Inputs!$H$76*Geometry!$B$15,Inputs!$I$76+0),0)</f>
        <v/>
      </c>
      <c r="D63" s="3">
        <f>IF(Loads!$A$63=1,IF(Inputs!$D$76="boom_local",Geometry!$B$18+Inputs!$F$76*Geometry!$B$15+Inputs!$H$76*Geometry!$B$14,Inputs!$K$76+0),0)</f>
        <v/>
      </c>
      <c r="E63" s="3">
        <f>IF(Loads!$A$63=1,Inputs!$E$76+0,0)</f>
        <v/>
      </c>
      <c r="F63" s="3">
        <f>Loads!$E$63*Loads!$B$15</f>
        <v/>
      </c>
      <c r="G63" s="3">
        <f>Loads!$E$63*Loads!$B$16</f>
        <v/>
      </c>
      <c r="H63" s="3">
        <f>Loads!$C$63*Loads!$G$63-Loads!$D$63*Loads!$F$63</f>
        <v/>
      </c>
      <c r="I63" s="3">
        <f>-Loads!$E$63*(Loads!$B$17+Loads!$B$19*(Loads!$D$63-Loads!$B$14))</f>
        <v/>
      </c>
      <c r="J63" s="3">
        <f>-Loads!$E$63*(Loads!$B$18-Loads!$B$19*(Loads!$C$63-Loads!$B$13))</f>
        <v/>
      </c>
      <c r="K63" s="3">
        <f>Loads!$C$63*Loads!$J$63-Loads!$D$63*Loads!$I$63</f>
        <v/>
      </c>
      <c r="L63" s="3">
        <f>Loads!$F$63+Loads!$I$63</f>
        <v/>
      </c>
      <c r="M63" s="3">
        <f>Loads!$G$63+Loads!$J$63</f>
        <v/>
      </c>
      <c r="N63" s="3">
        <f>Loads!$H$63+Loads!$K$63</f>
        <v/>
      </c>
    </row>
    <row r="64">
      <c r="A64" s="3">
        <f>Inputs!$A$77</f>
        <v/>
      </c>
      <c r="B64" s="3">
        <f>IF(Loads!$A$64=1,Inputs!$C$77&amp;"","")</f>
        <v/>
      </c>
      <c r="C64" s="3">
        <f>IF(Loads!$A$64=1,IF(Inputs!$D$77="boom_local",Geometry!$B$17+Inputs!$F$77*Geometry!$B$14-Inputs!$H$77*Geometry!$B$15,Inputs!$I$77+0),0)</f>
        <v/>
      </c>
      <c r="D64" s="3">
        <f>IF(Loads!$A$64=1,IF(Inputs!$D$77="boom_local",Geometry!$B$18+Inputs!$F$77*Geometry!$B$15+Inputs!$H$77*Geometry!$B$14,Inputs!$K$77+0),0)</f>
        <v/>
      </c>
      <c r="E64" s="3">
        <f>IF(Loads!$A$64=1,Inputs!$E$77+0,0)</f>
        <v/>
      </c>
      <c r="F64" s="3">
        <f>Loads!$E$64*Loads!$B$15</f>
        <v/>
      </c>
      <c r="G64" s="3">
        <f>Loads!$E$64*Loads!$B$16</f>
        <v/>
      </c>
      <c r="H64" s="3">
        <f>Loads!$C$64*Loads!$G$64-Loads!$D$64*Loads!$F$64</f>
        <v/>
      </c>
      <c r="I64" s="3">
        <f>-Loads!$E$64*(Loads!$B$17+Loads!$B$19*(Loads!$D$64-Loads!$B$14))</f>
        <v/>
      </c>
      <c r="J64" s="3">
        <f>-Loads!$E$64*(Loads!$B$18-Loads!$B$19*(Loads!$C$64-Loads!$B$13))</f>
        <v/>
      </c>
      <c r="K64" s="3">
        <f>Loads!$C$64*Loads!$J$64-Loads!$D$64*Loads!$I$64</f>
        <v/>
      </c>
      <c r="L64" s="3">
        <f>Loads!$F$64+Loads!$I$64</f>
        <v/>
      </c>
      <c r="M64" s="3">
        <f>Loads!$G$64+Loads!$J$64</f>
        <v/>
      </c>
      <c r="N64" s="3">
        <f>Loads!$H$64+Loads!$K$64</f>
        <v/>
      </c>
    </row>
    <row r="65">
      <c r="A65" s="3">
        <f>Inputs!$A$78</f>
        <v/>
      </c>
      <c r="B65" s="3">
        <f>IF(Loads!$A$65=1,Inputs!$C$78&amp;"","")</f>
        <v/>
      </c>
      <c r="C65" s="3">
        <f>IF(Loads!$A$65=1,IF(Inputs!$D$78="boom_local",Geometry!$B$17+Inputs!$F$78*Geometry!$B$14-Inputs!$H$78*Geometry!$B$15,Inputs!$I$78+0),0)</f>
        <v/>
      </c>
      <c r="D65" s="3">
        <f>IF(Loads!$A$65=1,IF(Inputs!$D$78="boom_local",Geometry!$B$18+Inputs!$F$78*Geometry!$B$15+Inputs!$H$78*Geometry!$B$14,Inputs!$K$78+0),0)</f>
        <v/>
      </c>
      <c r="E65" s="3">
        <f>IF(Loads!$A$65=1,Inputs!$E$78+0,0)</f>
        <v/>
      </c>
      <c r="F65" s="3">
        <f>Loads!$E$65*Loads!$B$15</f>
        <v/>
      </c>
      <c r="G65" s="3">
        <f>Loads!$E$65*Loads!$B$16</f>
        <v/>
      </c>
      <c r="H65" s="3">
        <f>Loads!$C$65*Loads!$G$65-Loads!$D$65*Loads!$F$65</f>
        <v/>
      </c>
      <c r="I65" s="3">
        <f>-Loads!$E$65*(Loads!$B$17+Loads!$B$19*(Loads!$D$65-Loads!$B$14))</f>
        <v/>
      </c>
      <c r="J65" s="3">
        <f>-Loads!$E$65*(Loads!$B$18-Loads!$B$19*(Loads!$C$65-Loads!$B$13))</f>
        <v/>
      </c>
      <c r="K65" s="3">
        <f>Loads!$C$65*Loads!$J$65-Loads!$D$65*Loads!$I$65</f>
        <v/>
      </c>
      <c r="L65" s="3">
        <f>Loads!$F$65+Loads!$I$65</f>
        <v/>
      </c>
      <c r="M65" s="3">
        <f>Loads!$G$65+Loads!$J$65</f>
        <v/>
      </c>
      <c r="N65" s="3">
        <f>Loads!$H$65+Loads!$K$65</f>
        <v/>
      </c>
    </row>
    <row r="66">
      <c r="A66" s="3">
        <f>Inputs!$A$79</f>
        <v/>
      </c>
      <c r="B66" s="3">
        <f>IF(Loads!$A$66=1,Inputs!$C$79&amp;"","")</f>
        <v/>
      </c>
      <c r="C66" s="3">
        <f>IF(Loads!$A$66=1,IF(Inputs!$D$79="boom_local",Geometry!$B$17+Inputs!$F$79*Geometry!$B$14-Inputs!$H$79*Geometry!$B$15,Inputs!$I$79+0),0)</f>
        <v/>
      </c>
      <c r="D66" s="3">
        <f>IF(Loads!$A$66=1,IF(Inputs!$D$79="boom_local",Geometry!$B$18+Inputs!$F$79*Geometry!$B$15+Inputs!$H$79*Geometry!$B$14,Inputs!$K$79+0),0)</f>
        <v/>
      </c>
      <c r="E66" s="3">
        <f>IF(Loads!$A$66=1,Inputs!$E$79+0,0)</f>
        <v/>
      </c>
      <c r="F66" s="3">
        <f>Loads!$E$66*Loads!$B$15</f>
        <v/>
      </c>
      <c r="G66" s="3">
        <f>Loads!$E$66*Loads!$B$16</f>
        <v/>
      </c>
      <c r="H66" s="3">
        <f>Loads!$C$66*Loads!$G$66-Loads!$D$66*Loads!$F$66</f>
        <v/>
      </c>
      <c r="I66" s="3">
        <f>-Loads!$E$66*(Loads!$B$17+Loads!$B$19*(Loads!$D$66-Loads!$B$14))</f>
        <v/>
      </c>
      <c r="J66" s="3">
        <f>-Loads!$E$66*(Loads!$B$18-Loads!$B$19*(Loads!$C$66-Loads!$B$13))</f>
        <v/>
      </c>
      <c r="K66" s="3">
        <f>Loads!$C$66*Loads!$J$66-Loads!$D$66*Loads!$I$66</f>
        <v/>
      </c>
      <c r="L66" s="3">
        <f>Loads!$F$66+Loads!$I$66</f>
        <v/>
      </c>
      <c r="M66" s="3">
        <f>Loads!$G$66+Loads!$J$66</f>
        <v/>
      </c>
      <c r="N66" s="3">
        <f>Loads!$H$66+Loads!$K$66</f>
        <v/>
      </c>
    </row>
    <row r="67">
      <c r="A67" s="3">
        <f>Inputs!$A$80</f>
        <v/>
      </c>
      <c r="B67" s="3">
        <f>IF(Loads!$A$67=1,Inputs!$C$80&amp;"","")</f>
        <v/>
      </c>
      <c r="C67" s="3">
        <f>IF(Loads!$A$67=1,IF(Inputs!$D$80="boom_local",Geometry!$B$17+Inputs!$F$80*Geometry!$B$14-Inputs!$H$80*Geometry!$B$15,Inputs!$I$80+0),0)</f>
        <v/>
      </c>
      <c r="D67" s="3">
        <f>IF(Loads!$A$67=1,IF(Inputs!$D$80="boom_local",Geometry!$B$18+Inputs!$F$80*Geometry!$B$15+Inputs!$H$80*Geometry!$B$14,Inputs!$K$80+0),0)</f>
        <v/>
      </c>
      <c r="E67" s="3">
        <f>IF(Loads!$A$67=1,Inputs!$E$80+0,0)</f>
        <v/>
      </c>
      <c r="F67" s="3">
        <f>Loads!$E$67*Loads!$B$15</f>
        <v/>
      </c>
      <c r="G67" s="3">
        <f>Loads!$E$67*Loads!$B$16</f>
        <v/>
      </c>
      <c r="H67" s="3">
        <f>Loads!$C$67*Loads!$G$67-Loads!$D$67*Loads!$F$67</f>
        <v/>
      </c>
      <c r="I67" s="3">
        <f>-Loads!$E$67*(Loads!$B$17+Loads!$B$19*(Loads!$D$67-Loads!$B$14))</f>
        <v/>
      </c>
      <c r="J67" s="3">
        <f>-Loads!$E$67*(Loads!$B$18-Loads!$B$19*(Loads!$C$67-Loads!$B$13))</f>
        <v/>
      </c>
      <c r="K67" s="3">
        <f>Loads!$C$67*Loads!$J$67-Loads!$D$67*Loads!$I$67</f>
        <v/>
      </c>
      <c r="L67" s="3">
        <f>Loads!$F$67+Loads!$I$67</f>
        <v/>
      </c>
      <c r="M67" s="3">
        <f>Loads!$G$67+Loads!$J$67</f>
        <v/>
      </c>
      <c r="N67" s="3">
        <f>Loads!$H$67+Loads!$K$67</f>
        <v/>
      </c>
    </row>
    <row r="68">
      <c r="A68" s="3">
        <f>Inputs!$A$81</f>
        <v/>
      </c>
      <c r="B68" s="3">
        <f>IF(Loads!$A$68=1,Inputs!$C$81&amp;"","")</f>
        <v/>
      </c>
      <c r="C68" s="3">
        <f>IF(Loads!$A$68=1,IF(Inputs!$D$81="boom_local",Geometry!$B$17+Inputs!$F$81*Geometry!$B$14-Inputs!$H$81*Geometry!$B$15,Inputs!$I$81+0),0)</f>
        <v/>
      </c>
      <c r="D68" s="3">
        <f>IF(Loads!$A$68=1,IF(Inputs!$D$81="boom_local",Geometry!$B$18+Inputs!$F$81*Geometry!$B$15+Inputs!$H$81*Geometry!$B$14,Inputs!$K$81+0),0)</f>
        <v/>
      </c>
      <c r="E68" s="3">
        <f>IF(Loads!$A$68=1,Inputs!$E$81+0,0)</f>
        <v/>
      </c>
      <c r="F68" s="3">
        <f>Loads!$E$68*Loads!$B$15</f>
        <v/>
      </c>
      <c r="G68" s="3">
        <f>Loads!$E$68*Loads!$B$16</f>
        <v/>
      </c>
      <c r="H68" s="3">
        <f>Loads!$C$68*Loads!$G$68-Loads!$D$68*Loads!$F$68</f>
        <v/>
      </c>
      <c r="I68" s="3">
        <f>-Loads!$E$68*(Loads!$B$17+Loads!$B$19*(Loads!$D$68-Loads!$B$14))</f>
        <v/>
      </c>
      <c r="J68" s="3">
        <f>-Loads!$E$68*(Loads!$B$18-Loads!$B$19*(Loads!$C$68-Loads!$B$13))</f>
        <v/>
      </c>
      <c r="K68" s="3">
        <f>Loads!$C$68*Loads!$J$68-Loads!$D$68*Loads!$I$68</f>
        <v/>
      </c>
      <c r="L68" s="3">
        <f>Loads!$F$68+Loads!$I$68</f>
        <v/>
      </c>
      <c r="M68" s="3">
        <f>Loads!$G$68+Loads!$J$68</f>
        <v/>
      </c>
      <c r="N68" s="3">
        <f>Loads!$H$68+Loads!$K$68</f>
        <v/>
      </c>
    </row>
    <row r="69">
      <c r="A69" s="3">
        <f>Inputs!$A$82</f>
        <v/>
      </c>
      <c r="B69" s="3">
        <f>IF(Loads!$A$69=1,Inputs!$C$82&amp;"","")</f>
        <v/>
      </c>
      <c r="C69" s="3">
        <f>IF(Loads!$A$69=1,IF(Inputs!$D$82="boom_local",Geometry!$B$17+Inputs!$F$82*Geometry!$B$14-Inputs!$H$82*Geometry!$B$15,Inputs!$I$82+0),0)</f>
        <v/>
      </c>
      <c r="D69" s="3">
        <f>IF(Loads!$A$69=1,IF(Inputs!$D$82="boom_local",Geometry!$B$18+Inputs!$F$82*Geometry!$B$15+Inputs!$H$82*Geometry!$B$14,Inputs!$K$82+0),0)</f>
        <v/>
      </c>
      <c r="E69" s="3">
        <f>IF(Loads!$A$69=1,Inputs!$E$82+0,0)</f>
        <v/>
      </c>
      <c r="F69" s="3">
        <f>Loads!$E$69*Loads!$B$15</f>
        <v/>
      </c>
      <c r="G69" s="3">
        <f>Loads!$E$69*Loads!$B$16</f>
        <v/>
      </c>
      <c r="H69" s="3">
        <f>Loads!$C$69*Loads!$G$69-Loads!$D$69*Loads!$F$69</f>
        <v/>
      </c>
      <c r="I69" s="3">
        <f>-Loads!$E$69*(Loads!$B$17+Loads!$B$19*(Loads!$D$69-Loads!$B$14))</f>
        <v/>
      </c>
      <c r="J69" s="3">
        <f>-Loads!$E$69*(Loads!$B$18-Loads!$B$19*(Loads!$C$69-Loads!$B$13))</f>
        <v/>
      </c>
      <c r="K69" s="3">
        <f>Loads!$C$69*Loads!$J$69-Loads!$D$69*Loads!$I$69</f>
        <v/>
      </c>
      <c r="L69" s="3">
        <f>Loads!$F$69+Loads!$I$69</f>
        <v/>
      </c>
      <c r="M69" s="3">
        <f>Loads!$G$69+Loads!$J$69</f>
        <v/>
      </c>
      <c r="N69" s="3">
        <f>Loads!$H$69+Loads!$K$69</f>
        <v/>
      </c>
    </row>
    <row r="70">
      <c r="A70" s="3">
        <f>Inputs!$A$83</f>
        <v/>
      </c>
      <c r="B70" s="3">
        <f>IF(Loads!$A$70=1,Inputs!$C$83&amp;"","")</f>
        <v/>
      </c>
      <c r="C70" s="3">
        <f>IF(Loads!$A$70=1,IF(Inputs!$D$83="boom_local",Geometry!$B$17+Inputs!$F$83*Geometry!$B$14-Inputs!$H$83*Geometry!$B$15,Inputs!$I$83+0),0)</f>
        <v/>
      </c>
      <c r="D70" s="3">
        <f>IF(Loads!$A$70=1,IF(Inputs!$D$83="boom_local",Geometry!$B$18+Inputs!$F$83*Geometry!$B$15+Inputs!$H$83*Geometry!$B$14,Inputs!$K$83+0),0)</f>
        <v/>
      </c>
      <c r="E70" s="3">
        <f>IF(Loads!$A$70=1,Inputs!$E$83+0,0)</f>
        <v/>
      </c>
      <c r="F70" s="3">
        <f>Loads!$E$70*Loads!$B$15</f>
        <v/>
      </c>
      <c r="G70" s="3">
        <f>Loads!$E$70*Loads!$B$16</f>
        <v/>
      </c>
      <c r="H70" s="3">
        <f>Loads!$C$70*Loads!$G$70-Loads!$D$70*Loads!$F$70</f>
        <v/>
      </c>
      <c r="I70" s="3">
        <f>-Loads!$E$70*(Loads!$B$17+Loads!$B$19*(Loads!$D$70-Loads!$B$14))</f>
        <v/>
      </c>
      <c r="J70" s="3">
        <f>-Loads!$E$70*(Loads!$B$18-Loads!$B$19*(Loads!$C$70-Loads!$B$13))</f>
        <v/>
      </c>
      <c r="K70" s="3">
        <f>Loads!$C$70*Loads!$J$70-Loads!$D$70*Loads!$I$70</f>
        <v/>
      </c>
      <c r="L70" s="3">
        <f>Loads!$F$70+Loads!$I$70</f>
        <v/>
      </c>
      <c r="M70" s="3">
        <f>Loads!$G$70+Loads!$J$70</f>
        <v/>
      </c>
      <c r="N70" s="3">
        <f>Loads!$H$70+Loads!$K$70</f>
        <v/>
      </c>
    </row>
    <row r="71">
      <c r="A71" s="3">
        <f>Inputs!$A$84</f>
        <v/>
      </c>
      <c r="B71" s="3">
        <f>IF(Loads!$A$71=1,Inputs!$C$84&amp;"","")</f>
        <v/>
      </c>
      <c r="C71" s="3">
        <f>IF(Loads!$A$71=1,IF(Inputs!$D$84="boom_local",Geometry!$B$17+Inputs!$F$84*Geometry!$B$14-Inputs!$H$84*Geometry!$B$15,Inputs!$I$84+0),0)</f>
        <v/>
      </c>
      <c r="D71" s="3">
        <f>IF(Loads!$A$71=1,IF(Inputs!$D$84="boom_local",Geometry!$B$18+Inputs!$F$84*Geometry!$B$15+Inputs!$H$84*Geometry!$B$14,Inputs!$K$84+0),0)</f>
        <v/>
      </c>
      <c r="E71" s="3">
        <f>IF(Loads!$A$71=1,Inputs!$E$84+0,0)</f>
        <v/>
      </c>
      <c r="F71" s="3">
        <f>Loads!$E$71*Loads!$B$15</f>
        <v/>
      </c>
      <c r="G71" s="3">
        <f>Loads!$E$71*Loads!$B$16</f>
        <v/>
      </c>
      <c r="H71" s="3">
        <f>Loads!$C$71*Loads!$G$71-Loads!$D$71*Loads!$F$71</f>
        <v/>
      </c>
      <c r="I71" s="3">
        <f>-Loads!$E$71*(Loads!$B$17+Loads!$B$19*(Loads!$D$71-Loads!$B$14))</f>
        <v/>
      </c>
      <c r="J71" s="3">
        <f>-Loads!$E$71*(Loads!$B$18-Loads!$B$19*(Loads!$C$71-Loads!$B$13))</f>
        <v/>
      </c>
      <c r="K71" s="3">
        <f>Loads!$C$71*Loads!$J$71-Loads!$D$71*Loads!$I$71</f>
        <v/>
      </c>
      <c r="L71" s="3">
        <f>Loads!$F$71+Loads!$I$71</f>
        <v/>
      </c>
      <c r="M71" s="3">
        <f>Loads!$G$71+Loads!$J$71</f>
        <v/>
      </c>
      <c r="N71" s="3">
        <f>Loads!$H$71+Loads!$K$71</f>
        <v/>
      </c>
    </row>
    <row r="72">
      <c r="A72" s="3">
        <f>Inputs!$A$85</f>
        <v/>
      </c>
      <c r="B72" s="3">
        <f>IF(Loads!$A$72=1,Inputs!$C$85&amp;"","")</f>
        <v/>
      </c>
      <c r="C72" s="3">
        <f>IF(Loads!$A$72=1,IF(Inputs!$D$85="boom_local",Geometry!$B$17+Inputs!$F$85*Geometry!$B$14-Inputs!$H$85*Geometry!$B$15,Inputs!$I$85+0),0)</f>
        <v/>
      </c>
      <c r="D72" s="3">
        <f>IF(Loads!$A$72=1,IF(Inputs!$D$85="boom_local",Geometry!$B$18+Inputs!$F$85*Geometry!$B$15+Inputs!$H$85*Geometry!$B$14,Inputs!$K$85+0),0)</f>
        <v/>
      </c>
      <c r="E72" s="3">
        <f>IF(Loads!$A$72=1,Inputs!$E$85+0,0)</f>
        <v/>
      </c>
      <c r="F72" s="3">
        <f>Loads!$E$72*Loads!$B$15</f>
        <v/>
      </c>
      <c r="G72" s="3">
        <f>Loads!$E$72*Loads!$B$16</f>
        <v/>
      </c>
      <c r="H72" s="3">
        <f>Loads!$C$72*Loads!$G$72-Loads!$D$72*Loads!$F$72</f>
        <v/>
      </c>
      <c r="I72" s="3">
        <f>-Loads!$E$72*(Loads!$B$17+Loads!$B$19*(Loads!$D$72-Loads!$B$14))</f>
        <v/>
      </c>
      <c r="J72" s="3">
        <f>-Loads!$E$72*(Loads!$B$18-Loads!$B$19*(Loads!$C$72-Loads!$B$13))</f>
        <v/>
      </c>
      <c r="K72" s="3">
        <f>Loads!$C$72*Loads!$J$72-Loads!$D$72*Loads!$I$72</f>
        <v/>
      </c>
      <c r="L72" s="3">
        <f>Loads!$F$72+Loads!$I$72</f>
        <v/>
      </c>
      <c r="M72" s="3">
        <f>Loads!$G$72+Loads!$J$72</f>
        <v/>
      </c>
      <c r="N72" s="3">
        <f>Loads!$H$72+Loads!$K$72</f>
        <v/>
      </c>
    </row>
    <row r="76">
      <c r="A76" s="6" t="inlineStr">
        <is>
          <t>Wind areas, X wind (row i = Inputs wind areas row i)</t>
        </is>
      </c>
    </row>
    <row r="77">
      <c r="A77" s="8" t="inlineStr">
        <is>
          <t>Active [1/0]</t>
        </is>
      </c>
      <c r="B77" s="8" t="inlineStr">
        <is>
          <t>Body</t>
        </is>
      </c>
      <c r="C77" s="8" t="inlineStr">
        <is>
          <t>x global [m]</t>
        </is>
      </c>
      <c r="D77" s="8" t="inlineStr">
        <is>
          <t>z global [m]</t>
        </is>
      </c>
      <c r="E77" s="8" t="inlineStr">
        <is>
          <t>Area for X wind [m^2]</t>
        </is>
      </c>
      <c r="F77" s="8" t="inlineStr">
        <is>
          <t>Area scale</t>
        </is>
      </c>
      <c r="G77" s="8" t="inlineStr">
        <is>
          <t>Wind Fx = sign q Cd A scale [kN]</t>
        </is>
      </c>
      <c r="H77" s="8" t="inlineStr">
        <is>
          <t>Wind moment = -z Fx [kNm]</t>
        </is>
      </c>
    </row>
    <row r="78">
      <c r="A78" s="7" t="inlineStr">
        <is>
          <t>active (from Inputs)</t>
        </is>
      </c>
      <c r="B78" s="7" t="inlineStr">
        <is>
          <t>body</t>
        </is>
      </c>
      <c r="C78" s="7" t="inlineStr">
        <is>
          <t>x_m</t>
        </is>
      </c>
      <c r="D78" s="7" t="inlineStr">
        <is>
          <t>z_m</t>
        </is>
      </c>
      <c r="E78" s="7" t="inlineStr">
        <is>
          <t>area_m2</t>
        </is>
      </c>
      <c r="F78" s="7" t="inlineStr">
        <is>
          <t>scale (|sin(boom angle)| on body boom, else 1)</t>
        </is>
      </c>
      <c r="G78" s="7" t="inlineStr">
        <is>
          <t>fx (crane_solver _wind_fx)</t>
        </is>
      </c>
      <c r="H78" s="7" t="inlineStr">
        <is>
          <t>m</t>
        </is>
      </c>
    </row>
    <row r="79">
      <c r="A79" s="3">
        <f>Inputs!$A$92</f>
        <v/>
      </c>
      <c r="B79" s="3">
        <f>IF(Loads!$A$79=1,Inputs!$C$92&amp;"","")</f>
        <v/>
      </c>
      <c r="C79" s="3">
        <f>IF(Loads!$A$79=1,IF(Inputs!$D$92="boom_local",Geometry!$B$17+Inputs!$H$92*Geometry!$B$14-Inputs!$I$92*Geometry!$B$15,Inputs!$J$92+0),0)</f>
        <v/>
      </c>
      <c r="D79" s="3">
        <f>IF(Loads!$A$79=1,IF(Inputs!$D$92="boom_local",Geometry!$B$18+Inputs!$H$92*Geometry!$B$15+Inputs!$I$92*Geometry!$B$14,Inputs!$K$92+0),0)</f>
        <v/>
      </c>
      <c r="E79" s="3">
        <f>IF(Loads!$A$79=1,Inputs!$F$92+0,0)</f>
        <v/>
      </c>
      <c r="F79" s="3">
        <f>IF(Loads!$A$79=1,IF(Loads!$B$79="boom",Loads!$B$23,1),0)</f>
        <v/>
      </c>
      <c r="G79" s="3">
        <f>Loads!$B$21*Loads!$B$22*IF(Loads!$A$79=1,Inputs!$E$92+0,0)*Loads!$E$79*Loads!$F$79</f>
        <v/>
      </c>
      <c r="H79" s="3">
        <f>-Loads!$D$79*Loads!$G$79</f>
        <v/>
      </c>
    </row>
    <row r="80">
      <c r="A80" s="3">
        <f>Inputs!$A$93</f>
        <v/>
      </c>
      <c r="B80" s="3">
        <f>IF(Loads!$A$80=1,Inputs!$C$93&amp;"","")</f>
        <v/>
      </c>
      <c r="C80" s="3">
        <f>IF(Loads!$A$80=1,IF(Inputs!$D$93="boom_local",Geometry!$B$17+Inputs!$H$93*Geometry!$B$14-Inputs!$I$93*Geometry!$B$15,Inputs!$J$93+0),0)</f>
        <v/>
      </c>
      <c r="D80" s="3">
        <f>IF(Loads!$A$80=1,IF(Inputs!$D$93="boom_local",Geometry!$B$18+Inputs!$H$93*Geometry!$B$15+Inputs!$I$93*Geometry!$B$14,Inputs!$K$93+0),0)</f>
        <v/>
      </c>
      <c r="E80" s="3">
        <f>IF(Loads!$A$80=1,Inputs!$F$93+0,0)</f>
        <v/>
      </c>
      <c r="F80" s="3">
        <f>IF(Loads!$A$80=1,IF(Loads!$B$80="boom",Loads!$B$23,1),0)</f>
        <v/>
      </c>
      <c r="G80" s="3">
        <f>Loads!$B$21*Loads!$B$22*IF(Loads!$A$80=1,Inputs!$E$93+0,0)*Loads!$E$80*Loads!$F$80</f>
        <v/>
      </c>
      <c r="H80" s="3">
        <f>-Loads!$D$80*Loads!$G$80</f>
        <v/>
      </c>
    </row>
    <row r="81">
      <c r="A81" s="3">
        <f>Inputs!$A$94</f>
        <v/>
      </c>
      <c r="B81" s="3">
        <f>IF(Loads!$A$81=1,Inputs!$C$94&amp;"","")</f>
        <v/>
      </c>
      <c r="C81" s="3">
        <f>IF(Loads!$A$81=1,IF(Inputs!$D$94="boom_local",Geometry!$B$17+Inputs!$H$94*Geometry!$B$14-Inputs!$I$94*Geometry!$B$15,Inputs!$J$94+0),0)</f>
        <v/>
      </c>
      <c r="D81" s="3">
        <f>IF(Loads!$A$81=1,IF(Inputs!$D$94="boom_local",Geometry!$B$18+Inputs!$H$94*Geometry!$B$15+Inputs!$I$94*Geometry!$B$14,Inputs!$K$94+0),0)</f>
        <v/>
      </c>
      <c r="E81" s="3">
        <f>IF(Loads!$A$81=1,Inputs!$F$94+0,0)</f>
        <v/>
      </c>
      <c r="F81" s="3">
        <f>IF(Loads!$A$81=1,IF(Loads!$B$81="boom",Loads!$B$23,1),0)</f>
        <v/>
      </c>
      <c r="G81" s="3">
        <f>Loads!$B$21*Loads!$B$22*IF(Loads!$A$81=1,Inputs!$E$94+0,0)*Loads!$E$81*Loads!$F$81</f>
        <v/>
      </c>
      <c r="H81" s="3">
        <f>-Loads!$D$81*Loads!$G$81</f>
        <v/>
      </c>
    </row>
    <row r="82">
      <c r="A82" s="3">
        <f>Inputs!$A$95</f>
        <v/>
      </c>
      <c r="B82" s="3">
        <f>IF(Loads!$A$82=1,Inputs!$C$95&amp;"","")</f>
        <v/>
      </c>
      <c r="C82" s="3">
        <f>IF(Loads!$A$82=1,IF(Inputs!$D$95="boom_local",Geometry!$B$17+Inputs!$H$95*Geometry!$B$14-Inputs!$I$95*Geometry!$B$15,Inputs!$J$95+0),0)</f>
        <v/>
      </c>
      <c r="D82" s="3">
        <f>IF(Loads!$A$82=1,IF(Inputs!$D$95="boom_local",Geometry!$B$18+Inputs!$H$95*Geometry!$B$15+Inputs!$I$95*Geometry!$B$14,Inputs!$K$95+0),0)</f>
        <v/>
      </c>
      <c r="E82" s="3">
        <f>IF(Loads!$A$82=1,Inputs!$F$95+0,0)</f>
        <v/>
      </c>
      <c r="F82" s="3">
        <f>IF(Loads!$A$82=1,IF(Loads!$B$82="boom",Loads!$B$23,1),0)</f>
        <v/>
      </c>
      <c r="G82" s="3">
        <f>Loads!$B$21*Loads!$B$22*IF(Loads!$A$82=1,Inputs!$E$95+0,0)*Loads!$E$82*Loads!$F$82</f>
        <v/>
      </c>
      <c r="H82" s="3">
        <f>-Loads!$D$82*Loads!$G$82</f>
        <v/>
      </c>
    </row>
    <row r="83">
      <c r="A83" s="3">
        <f>Inputs!$A$96</f>
        <v/>
      </c>
      <c r="B83" s="3">
        <f>IF(Loads!$A$83=1,Inputs!$C$96&amp;"","")</f>
        <v/>
      </c>
      <c r="C83" s="3">
        <f>IF(Loads!$A$83=1,IF(Inputs!$D$96="boom_local",Geometry!$B$17+Inputs!$H$96*Geometry!$B$14-Inputs!$I$96*Geometry!$B$15,Inputs!$J$96+0),0)</f>
        <v/>
      </c>
      <c r="D83" s="3">
        <f>IF(Loads!$A$83=1,IF(Inputs!$D$96="boom_local",Geometry!$B$18+Inputs!$H$96*Geometry!$B$15+Inputs!$I$96*Geometry!$B$14,Inputs!$K$96+0),0)</f>
        <v/>
      </c>
      <c r="E83" s="3">
        <f>IF(Loads!$A$83=1,Inputs!$F$96+0,0)</f>
        <v/>
      </c>
      <c r="F83" s="3">
        <f>IF(Loads!$A$83=1,IF(Loads!$B$83="boom",Loads!$B$23,1),0)</f>
        <v/>
      </c>
      <c r="G83" s="3">
        <f>Loads!$B$21*Loads!$B$22*IF(Loads!$A$83=1,Inputs!$E$96+0,0)*Loads!$E$83*Loads!$F$83</f>
        <v/>
      </c>
      <c r="H83" s="3">
        <f>-Loads!$D$83*Loads!$G$83</f>
        <v/>
      </c>
    </row>
    <row r="84">
      <c r="A84" s="3">
        <f>Inputs!$A$97</f>
        <v/>
      </c>
      <c r="B84" s="3">
        <f>IF(Loads!$A$84=1,Inputs!$C$97&amp;"","")</f>
        <v/>
      </c>
      <c r="C84" s="3">
        <f>IF(Loads!$A$84=1,IF(Inputs!$D$97="boom_local",Geometry!$B$17+Inputs!$H$97*Geometry!$B$14-Inputs!$I$97*Geometry!$B$15,Inputs!$J$97+0),0)</f>
        <v/>
      </c>
      <c r="D84" s="3">
        <f>IF(Loads!$A$84=1,IF(Inputs!$D$97="boom_local",Geometry!$B$18+Inputs!$H$97*Geometry!$B$15+Inputs!$I$97*Geometry!$B$14,Inputs!$K$97+0),0)</f>
        <v/>
      </c>
      <c r="E84" s="3">
        <f>IF(Loads!$A$84=1,Inputs!$F$97+0,0)</f>
        <v/>
      </c>
      <c r="F84" s="3">
        <f>IF(Loads!$A$84=1,IF(Loads!$B$84="boom",Loads!$B$23,1),0)</f>
        <v/>
      </c>
      <c r="G84" s="3">
        <f>Loads!$B$21*Loads!$B$22*IF(Loads!$A$84=1,Inputs!$E$97+0,0)*Loads!$E$84*Loads!$F$84</f>
        <v/>
      </c>
      <c r="H84" s="3">
        <f>-Loads!$D$84*Loads!$G$84</f>
        <v/>
      </c>
    </row>
    <row r="85">
      <c r="A85" s="3">
        <f>Inputs!$A$98</f>
        <v/>
      </c>
      <c r="B85" s="3">
        <f>IF(Loads!$A$85=1,Inputs!$C$98&amp;"","")</f>
        <v/>
      </c>
      <c r="C85" s="3">
        <f>IF(Loads!$A$85=1,IF(Inputs!$D$98="boom_local",Geometry!$B$17+Inputs!$H$98*Geometry!$B$14-Inputs!$I$98*Geometry!$B$15,Inputs!$J$98+0),0)</f>
        <v/>
      </c>
      <c r="D85" s="3">
        <f>IF(Loads!$A$85=1,IF(Inputs!$D$98="boom_local",Geometry!$B$18+Inputs!$H$98*Geometry!$B$15+Inputs!$I$98*Geometry!$B$14,Inputs!$K$98+0),0)</f>
        <v/>
      </c>
      <c r="E85" s="3">
        <f>IF(Loads!$A$85=1,Inputs!$F$98+0,0)</f>
        <v/>
      </c>
      <c r="F85" s="3">
        <f>IF(Loads!$A$85=1,IF(Loads!$B$85="boom",Loads!$B$23,1),0)</f>
        <v/>
      </c>
      <c r="G85" s="3">
        <f>Loads!$B$21*Loads!$B$22*IF(Loads!$A$85=1,Inputs!$E$98+0,0)*Loads!$E$85*Loads!$F$85</f>
        <v/>
      </c>
      <c r="H85" s="3">
        <f>-Loads!$D$85*Loads!$G$85</f>
        <v/>
      </c>
    </row>
    <row r="86">
      <c r="A86" s="3">
        <f>Inputs!$A$99</f>
        <v/>
      </c>
      <c r="B86" s="3">
        <f>IF(Loads!$A$86=1,Inputs!$C$99&amp;"","")</f>
        <v/>
      </c>
      <c r="C86" s="3">
        <f>IF(Loads!$A$86=1,IF(Inputs!$D$99="boom_local",Geometry!$B$17+Inputs!$H$99*Geometry!$B$14-Inputs!$I$99*Geometry!$B$15,Inputs!$J$99+0),0)</f>
        <v/>
      </c>
      <c r="D86" s="3">
        <f>IF(Loads!$A$86=1,IF(Inputs!$D$99="boom_local",Geometry!$B$18+Inputs!$H$99*Geometry!$B$15+Inputs!$I$99*Geometry!$B$14,Inputs!$K$99+0),0)</f>
        <v/>
      </c>
      <c r="E86" s="3">
        <f>IF(Loads!$A$86=1,Inputs!$F$99+0,0)</f>
        <v/>
      </c>
      <c r="F86" s="3">
        <f>IF(Loads!$A$86=1,IF(Loads!$B$86="boom",Loads!$B$23,1),0)</f>
        <v/>
      </c>
      <c r="G86" s="3">
        <f>Loads!$B$21*Loads!$B$22*IF(Loads!$A$86=1,Inputs!$E$99+0,0)*Loads!$E$86*Loads!$F$86</f>
        <v/>
      </c>
      <c r="H86" s="3">
        <f>-Loads!$D$86*Loads!$G$86</f>
        <v/>
      </c>
    </row>
    <row r="87">
      <c r="A87" s="3">
        <f>Inputs!$A$100</f>
        <v/>
      </c>
      <c r="B87" s="3">
        <f>IF(Loads!$A$87=1,Inputs!$C$100&amp;"","")</f>
        <v/>
      </c>
      <c r="C87" s="3">
        <f>IF(Loads!$A$87=1,IF(Inputs!$D$100="boom_local",Geometry!$B$17+Inputs!$H$100*Geometry!$B$14-Inputs!$I$100*Geometry!$B$15,Inputs!$J$100+0),0)</f>
        <v/>
      </c>
      <c r="D87" s="3">
        <f>IF(Loads!$A$87=1,IF(Inputs!$D$100="boom_local",Geometry!$B$18+Inputs!$H$100*Geometry!$B$15+Inputs!$I$100*Geometry!$B$14,Inputs!$K$100+0),0)</f>
        <v/>
      </c>
      <c r="E87" s="3">
        <f>IF(Loads!$A$87=1,Inputs!$F$100+0,0)</f>
        <v/>
      </c>
      <c r="F87" s="3">
        <f>IF(Loads!$A$87=1,IF(Loads!$B$87="boom",Loads!$B$23,1),0)</f>
        <v/>
      </c>
      <c r="G87" s="3">
        <f>Loads!$B$21*Loads!$B$22*IF(Loads!$A$87=1,Inputs!$E$100+0,0)*Loads!$E$87*Loads!$F$87</f>
        <v/>
      </c>
      <c r="H87" s="3">
        <f>-Loads!$D$87*Loads!$G$87</f>
        <v/>
      </c>
    </row>
    <row r="88">
      <c r="A88" s="3">
        <f>Inputs!$A$101</f>
        <v/>
      </c>
      <c r="B88" s="3">
        <f>IF(Loads!$A$88=1,Inputs!$C$101&amp;"","")</f>
        <v/>
      </c>
      <c r="C88" s="3">
        <f>IF(Loads!$A$88=1,IF(Inputs!$D$101="boom_local",Geometry!$B$17+Inputs!$H$101*Geometry!$B$14-Inputs!$I$101*Geometry!$B$15,Inputs!$J$101+0),0)</f>
        <v/>
      </c>
      <c r="D88" s="3">
        <f>IF(Loads!$A$88=1,IF(Inputs!$D$101="boom_local",Geometry!$B$18+Inputs!$H$101*Geometry!$B$15+Inputs!$I$101*Geometry!$B$14,Inputs!$K$101+0),0)</f>
        <v/>
      </c>
      <c r="E88" s="3">
        <f>IF(Loads!$A$88=1,Inputs!$F$101+0,0)</f>
        <v/>
      </c>
      <c r="F88" s="3">
        <f>IF(Loads!$A$88=1,IF(Loads!$B$88="boom",Loads!$B$23,1),0)</f>
        <v/>
      </c>
      <c r="G88" s="3">
        <f>Loads!$B$21*Loads!$B$22*IF(Loads!$A$88=1,Inputs!$E$101+0,0)*Loads!$E$88*Loads!$F$88</f>
        <v/>
      </c>
      <c r="H88" s="3">
        <f>-Loads!$D$88*Loads!$G$88</f>
        <v/>
      </c>
    </row>
    <row r="89">
      <c r="A89" s="3">
        <f>Inputs!$A$102</f>
        <v/>
      </c>
      <c r="B89" s="3">
        <f>IF(Loads!$A$89=1,Inputs!$C$102&amp;"","")</f>
        <v/>
      </c>
      <c r="C89" s="3">
        <f>IF(Loads!$A$89=1,IF(Inputs!$D$102="boom_local",Geometry!$B$17+Inputs!$H$102*Geometry!$B$14-Inputs!$I$102*Geometry!$B$15,Inputs!$J$102+0),0)</f>
        <v/>
      </c>
      <c r="D89" s="3">
        <f>IF(Loads!$A$89=1,IF(Inputs!$D$102="boom_local",Geometry!$B$18+Inputs!$H$102*Geometry!$B$15+Inputs!$I$102*Geometry!$B$14,Inputs!$K$102+0),0)</f>
        <v/>
      </c>
      <c r="E89" s="3">
        <f>IF(Loads!$A$89=1,Inputs!$F$102+0,0)</f>
        <v/>
      </c>
      <c r="F89" s="3">
        <f>IF(Loads!$A$89=1,IF(Loads!$B$89="boom",Loads!$B$23,1),0)</f>
        <v/>
      </c>
      <c r="G89" s="3">
        <f>Loads!$B$21*Loads!$B$22*IF(Loads!$A$89=1,Inputs!$E$102+0,0)*Loads!$E$89*Loads!$F$89</f>
        <v/>
      </c>
      <c r="H89" s="3">
        <f>-Loads!$D$89*Loads!$G$89</f>
        <v/>
      </c>
    </row>
    <row r="90">
      <c r="A90" s="3">
        <f>Inputs!$A$103</f>
        <v/>
      </c>
      <c r="B90" s="3">
        <f>IF(Loads!$A$90=1,Inputs!$C$103&amp;"","")</f>
        <v/>
      </c>
      <c r="C90" s="3">
        <f>IF(Loads!$A$90=1,IF(Inputs!$D$103="boom_local",Geometry!$B$17+Inputs!$H$103*Geometry!$B$14-Inputs!$I$103*Geometry!$B$15,Inputs!$J$103+0),0)</f>
        <v/>
      </c>
      <c r="D90" s="3">
        <f>IF(Loads!$A$90=1,IF(Inputs!$D$103="boom_local",Geometry!$B$18+Inputs!$H$103*Geometry!$B$15+Inputs!$I$103*Geometry!$B$14,Inputs!$K$103+0),0)</f>
        <v/>
      </c>
      <c r="E90" s="3">
        <f>IF(Loads!$A$90=1,Inputs!$F$103+0,0)</f>
        <v/>
      </c>
      <c r="F90" s="3">
        <f>IF(Loads!$A$90=1,IF(Loads!$B$90="boom",Loads!$B$23,1),0)</f>
        <v/>
      </c>
      <c r="G90" s="3">
        <f>Loads!$B$21*Loads!$B$22*IF(Loads!$A$90=1,Inputs!$E$103+0,0)*Loads!$E$90*Loads!$F$90</f>
        <v/>
      </c>
      <c r="H90" s="3">
        <f>-Loads!$D$90*Loads!$G$90</f>
        <v/>
      </c>
    </row>
    <row r="91">
      <c r="A91" s="3">
        <f>Inputs!$A$104</f>
        <v/>
      </c>
      <c r="B91" s="3">
        <f>IF(Loads!$A$91=1,Inputs!$C$104&amp;"","")</f>
        <v/>
      </c>
      <c r="C91" s="3">
        <f>IF(Loads!$A$91=1,IF(Inputs!$D$104="boom_local",Geometry!$B$17+Inputs!$H$104*Geometry!$B$14-Inputs!$I$104*Geometry!$B$15,Inputs!$J$104+0),0)</f>
        <v/>
      </c>
      <c r="D91" s="3">
        <f>IF(Loads!$A$91=1,IF(Inputs!$D$104="boom_local",Geometry!$B$18+Inputs!$H$104*Geometry!$B$15+Inputs!$I$104*Geometry!$B$14,Inputs!$K$104+0),0)</f>
        <v/>
      </c>
      <c r="E91" s="3">
        <f>IF(Loads!$A$91=1,Inputs!$F$104+0,0)</f>
        <v/>
      </c>
      <c r="F91" s="3">
        <f>IF(Loads!$A$91=1,IF(Loads!$B$91="boom",Loads!$B$23,1),0)</f>
        <v/>
      </c>
      <c r="G91" s="3">
        <f>Loads!$B$21*Loads!$B$22*IF(Loads!$A$91=1,Inputs!$E$104+0,0)*Loads!$E$91*Loads!$F$91</f>
        <v/>
      </c>
      <c r="H91" s="3">
        <f>-Loads!$D$91*Loads!$G$91</f>
        <v/>
      </c>
    </row>
    <row r="92">
      <c r="A92" s="3">
        <f>Inputs!$A$105</f>
        <v/>
      </c>
      <c r="B92" s="3">
        <f>IF(Loads!$A$92=1,Inputs!$C$105&amp;"","")</f>
        <v/>
      </c>
      <c r="C92" s="3">
        <f>IF(Loads!$A$92=1,IF(Inputs!$D$105="boom_local",Geometry!$B$17+Inputs!$H$105*Geometry!$B$14-Inputs!$I$105*Geometry!$B$15,Inputs!$J$105+0),0)</f>
        <v/>
      </c>
      <c r="D92" s="3">
        <f>IF(Loads!$A$92=1,IF(Inputs!$D$105="boom_local",Geometry!$B$18+Inputs!$H$105*Geometry!$B$15+Inputs!$I$105*Geometry!$B$14,Inputs!$K$105+0),0)</f>
        <v/>
      </c>
      <c r="E92" s="3">
        <f>IF(Loads!$A$92=1,Inputs!$F$105+0,0)</f>
        <v/>
      </c>
      <c r="F92" s="3">
        <f>IF(Loads!$A$92=1,IF(Loads!$B$92="boom",Loads!$B$23,1),0)</f>
        <v/>
      </c>
      <c r="G92" s="3">
        <f>Loads!$B$21*Loads!$B$22*IF(Loads!$A$92=1,Inputs!$E$105+0,0)*Loads!$E$92*Loads!$F$92</f>
        <v/>
      </c>
      <c r="H92" s="3">
        <f>-Loads!$D$92*Loads!$G$92</f>
        <v/>
      </c>
    </row>
    <row r="93">
      <c r="A93" s="3">
        <f>Inputs!$A$106</f>
        <v/>
      </c>
      <c r="B93" s="3">
        <f>IF(Loads!$A$93=1,Inputs!$C$106&amp;"","")</f>
        <v/>
      </c>
      <c r="C93" s="3">
        <f>IF(Loads!$A$93=1,IF(Inputs!$D$106="boom_local",Geometry!$B$17+Inputs!$H$106*Geometry!$B$14-Inputs!$I$106*Geometry!$B$15,Inputs!$J$106+0),0)</f>
        <v/>
      </c>
      <c r="D93" s="3">
        <f>IF(Loads!$A$93=1,IF(Inputs!$D$106="boom_local",Geometry!$B$18+Inputs!$H$106*Geometry!$B$15+Inputs!$I$106*Geometry!$B$14,Inputs!$K$106+0),0)</f>
        <v/>
      </c>
      <c r="E93" s="3">
        <f>IF(Loads!$A$93=1,Inputs!$F$106+0,0)</f>
        <v/>
      </c>
      <c r="F93" s="3">
        <f>IF(Loads!$A$93=1,IF(Loads!$B$93="boom",Loads!$B$23,1),0)</f>
        <v/>
      </c>
      <c r="G93" s="3">
        <f>Loads!$B$21*Loads!$B$22*IF(Loads!$A$93=1,Inputs!$E$106+0,0)*Loads!$E$93*Loads!$F$93</f>
        <v/>
      </c>
      <c r="H93" s="3">
        <f>-Loads!$D$93*Loads!$G$93</f>
        <v/>
      </c>
    </row>
    <row r="94">
      <c r="A94" s="3">
        <f>Inputs!$A$107</f>
        <v/>
      </c>
      <c r="B94" s="3">
        <f>IF(Loads!$A$94=1,Inputs!$C$107&amp;"","")</f>
        <v/>
      </c>
      <c r="C94" s="3">
        <f>IF(Loads!$A$94=1,IF(Inputs!$D$107="boom_local",Geometry!$B$17+Inputs!$H$107*Geometry!$B$14-Inputs!$I$107*Geometry!$B$15,Inputs!$J$107+0),0)</f>
        <v/>
      </c>
      <c r="D94" s="3">
        <f>IF(Loads!$A$94=1,IF(Inputs!$D$107="boom_local",Geometry!$B$18+Inputs!$H$107*Geometry!$B$15+Inputs!$I$107*Geometry!$B$14,Inputs!$K$107+0),0)</f>
        <v/>
      </c>
      <c r="E94" s="3">
        <f>IF(Loads!$A$94=1,Inputs!$F$107+0,0)</f>
        <v/>
      </c>
      <c r="F94" s="3">
        <f>IF(Loads!$A$94=1,IF(Loads!$B$94="boom",Loads!$B$23,1),0)</f>
        <v/>
      </c>
      <c r="G94" s="3">
        <f>Loads!$B$21*Loads!$B$22*IF(Loads!$A$94=1,Inputs!$E$107+0,0)*Loads!$E$94*Loads!$F$94</f>
        <v/>
      </c>
      <c r="H94" s="3">
        <f>-Loads!$D$94*Loads!$G$94</f>
        <v/>
      </c>
    </row>
    <row r="95">
      <c r="A95" s="3">
        <f>Inputs!$A$108</f>
        <v/>
      </c>
      <c r="B95" s="3">
        <f>IF(Loads!$A$95=1,Inputs!$C$108&amp;"","")</f>
        <v/>
      </c>
      <c r="C95" s="3">
        <f>IF(Loads!$A$95=1,IF(Inputs!$D$108="boom_local",Geometry!$B$17+Inputs!$H$108*Geometry!$B$14-Inputs!$I$108*Geometry!$B$15,Inputs!$J$108+0),0)</f>
        <v/>
      </c>
      <c r="D95" s="3">
        <f>IF(Loads!$A$95=1,IF(Inputs!$D$108="boom_local",Geometry!$B$18+Inputs!$H$108*Geometry!$B$15+Inputs!$I$108*Geometry!$B$14,Inputs!$K$108+0),0)</f>
        <v/>
      </c>
      <c r="E95" s="3">
        <f>IF(Loads!$A$95=1,Inputs!$F$108+0,0)</f>
        <v/>
      </c>
      <c r="F95" s="3">
        <f>IF(Loads!$A$95=1,IF(Loads!$B$95="boom",Loads!$B$23,1),0)</f>
        <v/>
      </c>
      <c r="G95" s="3">
        <f>Loads!$B$21*Loads!$B$22*IF(Loads!$A$95=1,Inputs!$E$108+0,0)*Loads!$E$95*Loads!$F$95</f>
        <v/>
      </c>
      <c r="H95" s="3">
        <f>-Loads!$D$95*Loads!$G$95</f>
        <v/>
      </c>
    </row>
    <row r="96">
      <c r="A96" s="3">
        <f>Inputs!$A$109</f>
        <v/>
      </c>
      <c r="B96" s="3">
        <f>IF(Loads!$A$96=1,Inputs!$C$109&amp;"","")</f>
        <v/>
      </c>
      <c r="C96" s="3">
        <f>IF(Loads!$A$96=1,IF(Inputs!$D$109="boom_local",Geometry!$B$17+Inputs!$H$109*Geometry!$B$14-Inputs!$I$109*Geometry!$B$15,Inputs!$J$109+0),0)</f>
        <v/>
      </c>
      <c r="D96" s="3">
        <f>IF(Loads!$A$96=1,IF(Inputs!$D$109="boom_local",Geometry!$B$18+Inputs!$H$109*Geometry!$B$15+Inputs!$I$109*Geometry!$B$14,Inputs!$K$109+0),0)</f>
        <v/>
      </c>
      <c r="E96" s="3">
        <f>IF(Loads!$A$96=1,Inputs!$F$109+0,0)</f>
        <v/>
      </c>
      <c r="F96" s="3">
        <f>IF(Loads!$A$96=1,IF(Loads!$B$96="boom",Loads!$B$23,1),0)</f>
        <v/>
      </c>
      <c r="G96" s="3">
        <f>Loads!$B$21*Loads!$B$22*IF(Loads!$A$96=1,Inputs!$E$109+0,0)*Loads!$E$96*Loads!$F$96</f>
        <v/>
      </c>
      <c r="H96" s="3">
        <f>-Loads!$D$96*Loads!$G$96</f>
        <v/>
      </c>
    </row>
    <row r="97">
      <c r="A97" s="3">
        <f>Inputs!$A$110</f>
        <v/>
      </c>
      <c r="B97" s="3">
        <f>IF(Loads!$A$97=1,Inputs!$C$110&amp;"","")</f>
        <v/>
      </c>
      <c r="C97" s="3">
        <f>IF(Loads!$A$97=1,IF(Inputs!$D$110="boom_local",Geometry!$B$17+Inputs!$H$110*Geometry!$B$14-Inputs!$I$110*Geometry!$B$15,Inputs!$J$110+0),0)</f>
        <v/>
      </c>
      <c r="D97" s="3">
        <f>IF(Loads!$A$97=1,IF(Inputs!$D$110="boom_local",Geometry!$B$18+Inputs!$H$110*Geometry!$B$15+Inputs!$I$110*Geometry!$B$14,Inputs!$K$110+0),0)</f>
        <v/>
      </c>
      <c r="E97" s="3">
        <f>IF(Loads!$A$97=1,Inputs!$F$110+0,0)</f>
        <v/>
      </c>
      <c r="F97" s="3">
        <f>IF(Loads!$A$97=1,IF(Loads!$B$97="boom",Loads!$B$23,1),0)</f>
        <v/>
      </c>
      <c r="G97" s="3">
        <f>Loads!$B$21*Loads!$B$22*IF(Loads!$A$97=1,Inputs!$E$110+0,0)*Loads!$E$97*Loads!$F$97</f>
        <v/>
      </c>
      <c r="H97" s="3">
        <f>-Loads!$D$97*Loads!$G$97</f>
        <v/>
      </c>
    </row>
    <row r="98">
      <c r="A98" s="3">
        <f>Inputs!$A$111</f>
        <v/>
      </c>
      <c r="B98" s="3">
        <f>IF(Loads!$A$98=1,Inputs!$C$111&amp;"","")</f>
        <v/>
      </c>
      <c r="C98" s="3">
        <f>IF(Loads!$A$98=1,IF(Inputs!$D$111="boom_local",Geometry!$B$17+Inputs!$H$111*Geometry!$B$14-Inputs!$I$111*Geometry!$B$15,Inputs!$J$111+0),0)</f>
        <v/>
      </c>
      <c r="D98" s="3">
        <f>IF(Loads!$A$98=1,IF(Inputs!$D$111="boom_local",Geometry!$B$18+Inputs!$H$111*Geometry!$B$15+Inputs!$I$111*Geometry!$B$14,Inputs!$K$111+0),0)</f>
        <v/>
      </c>
      <c r="E98" s="3">
        <f>IF(Loads!$A$98=1,Inputs!$F$111+0,0)</f>
        <v/>
      </c>
      <c r="F98" s="3">
        <f>IF(Loads!$A$98=1,IF(Loads!$B$98="boom",Loads!$B$23,1),0)</f>
        <v/>
      </c>
      <c r="G98" s="3">
        <f>Loads!$B$21*Loads!$B$22*IF(Loads!$A$98=1,Inputs!$E$111+0,0)*Loads!$E$98*Loads!$F$98</f>
        <v/>
      </c>
      <c r="H98" s="3">
        <f>-Loads!$D$98*Loads!$G$98</f>
        <v/>
      </c>
    </row>
    <row r="99">
      <c r="A99" s="3">
        <f>Inputs!$A$112</f>
        <v/>
      </c>
      <c r="B99" s="3">
        <f>IF(Loads!$A$99=1,Inputs!$C$112&amp;"","")</f>
        <v/>
      </c>
      <c r="C99" s="3">
        <f>IF(Loads!$A$99=1,IF(Inputs!$D$112="boom_local",Geometry!$B$17+Inputs!$H$112*Geometry!$B$14-Inputs!$I$112*Geometry!$B$15,Inputs!$J$112+0),0)</f>
        <v/>
      </c>
      <c r="D99" s="3">
        <f>IF(Loads!$A$99=1,IF(Inputs!$D$112="boom_local",Geometry!$B$18+Inputs!$H$112*Geometry!$B$15+Inputs!$I$112*Geometry!$B$14,Inputs!$K$112+0),0)</f>
        <v/>
      </c>
      <c r="E99" s="3">
        <f>IF(Loads!$A$99=1,Inputs!$F$112+0,0)</f>
        <v/>
      </c>
      <c r="F99" s="3">
        <f>IF(Loads!$A$99=1,IF(Loads!$B$99="boom",Loads!$B$23,1),0)</f>
        <v/>
      </c>
      <c r="G99" s="3">
        <f>Loads!$B$21*Loads!$B$22*IF(Loads!$A$99=1,Inputs!$E$112+0,0)*Loads!$E$99*Loads!$F$99</f>
        <v/>
      </c>
      <c r="H99" s="3">
        <f>-Loads!$D$99*Loads!$G$99</f>
        <v/>
      </c>
    </row>
    <row r="100">
      <c r="A100" s="3">
        <f>Inputs!$A$113</f>
        <v/>
      </c>
      <c r="B100" s="3">
        <f>IF(Loads!$A$100=1,Inputs!$C$113&amp;"","")</f>
        <v/>
      </c>
      <c r="C100" s="3">
        <f>IF(Loads!$A$100=1,IF(Inputs!$D$113="boom_local",Geometry!$B$17+Inputs!$H$113*Geometry!$B$14-Inputs!$I$113*Geometry!$B$15,Inputs!$J$113+0),0)</f>
        <v/>
      </c>
      <c r="D100" s="3">
        <f>IF(Loads!$A$100=1,IF(Inputs!$D$113="boom_local",Geometry!$B$18+Inputs!$H$113*Geometry!$B$15+Inputs!$I$113*Geometry!$B$14,Inputs!$K$113+0),0)</f>
        <v/>
      </c>
      <c r="E100" s="3">
        <f>IF(Loads!$A$100=1,Inputs!$F$113+0,0)</f>
        <v/>
      </c>
      <c r="F100" s="3">
        <f>IF(Loads!$A$100=1,IF(Loads!$B$100="boom",Loads!$B$23,1),0)</f>
        <v/>
      </c>
      <c r="G100" s="3">
        <f>Loads!$B$21*Loads!$B$22*IF(Loads!$A$100=1,Inputs!$E$113+0,0)*Loads!$E$100*Loads!$F$100</f>
        <v/>
      </c>
      <c r="H100" s="3">
        <f>-Loads!$D$100*Loads!$G$100</f>
        <v/>
      </c>
    </row>
    <row r="101">
      <c r="A101" s="3">
        <f>Inputs!$A$114</f>
        <v/>
      </c>
      <c r="B101" s="3">
        <f>IF(Loads!$A$101=1,Inputs!$C$114&amp;"","")</f>
        <v/>
      </c>
      <c r="C101" s="3">
        <f>IF(Loads!$A$101=1,IF(Inputs!$D$114="boom_local",Geometry!$B$17+Inputs!$H$114*Geometry!$B$14-Inputs!$I$114*Geometry!$B$15,Inputs!$J$114+0),0)</f>
        <v/>
      </c>
      <c r="D101" s="3">
        <f>IF(Loads!$A$101=1,IF(Inputs!$D$114="boom_local",Geometry!$B$18+Inputs!$H$114*Geometry!$B$15+Inputs!$I$114*Geometry!$B$14,Inputs!$K$114+0),0)</f>
        <v/>
      </c>
      <c r="E101" s="3">
        <f>IF(Loads!$A$101=1,Inputs!$F$114+0,0)</f>
        <v/>
      </c>
      <c r="F101" s="3">
        <f>IF(Loads!$A$101=1,IF(Loads!$B$101="boom",Loads!$B$23,1),0)</f>
        <v/>
      </c>
      <c r="G101" s="3">
        <f>Loads!$B$21*Loads!$B$22*IF(Loads!$A$101=1,Inputs!$E$114+0,0)*Loads!$E$101*Loads!$F$101</f>
        <v/>
      </c>
      <c r="H101" s="3">
        <f>-Loads!$D$101*Loads!$G$101</f>
        <v/>
      </c>
    </row>
    <row r="102">
      <c r="A102" s="3">
        <f>Inputs!$A$115</f>
        <v/>
      </c>
      <c r="B102" s="3">
        <f>IF(Loads!$A$102=1,Inputs!$C$115&amp;"","")</f>
        <v/>
      </c>
      <c r="C102" s="3">
        <f>IF(Loads!$A$102=1,IF(Inputs!$D$115="boom_local",Geometry!$B$17+Inputs!$H$115*Geometry!$B$14-Inputs!$I$115*Geometry!$B$15,Inputs!$J$115+0),0)</f>
        <v/>
      </c>
      <c r="D102" s="3">
        <f>IF(Loads!$A$102=1,IF(Inputs!$D$115="boom_local",Geometry!$B$18+Inputs!$H$115*Geometry!$B$15+Inputs!$I$115*Geometry!$B$14,Inputs!$K$115+0),0)</f>
        <v/>
      </c>
      <c r="E102" s="3">
        <f>IF(Loads!$A$102=1,Inputs!$F$115+0,0)</f>
        <v/>
      </c>
      <c r="F102" s="3">
        <f>IF(Loads!$A$102=1,IF(Loads!$B$102="boom",Loads!$B$23,1),0)</f>
        <v/>
      </c>
      <c r="G102" s="3">
        <f>Loads!$B$21*Loads!$B$22*IF(Loads!$A$102=1,Inputs!$E$115+0,0)*Loads!$E$102*Loads!$F$102</f>
        <v/>
      </c>
      <c r="H102" s="3">
        <f>-Loads!$D$102*Loads!$G$102</f>
        <v/>
      </c>
    </row>
    <row r="103">
      <c r="A103" s="3">
        <f>Inputs!$A$116</f>
        <v/>
      </c>
      <c r="B103" s="3">
        <f>IF(Loads!$A$103=1,Inputs!$C$116&amp;"","")</f>
        <v/>
      </c>
      <c r="C103" s="3">
        <f>IF(Loads!$A$103=1,IF(Inputs!$D$116="boom_local",Geometry!$B$17+Inputs!$H$116*Geometry!$B$14-Inputs!$I$116*Geometry!$B$15,Inputs!$J$116+0),0)</f>
        <v/>
      </c>
      <c r="D103" s="3">
        <f>IF(Loads!$A$103=1,IF(Inputs!$D$116="boom_local",Geometry!$B$18+Inputs!$H$116*Geometry!$B$15+Inputs!$I$116*Geometry!$B$14,Inputs!$K$116+0),0)</f>
        <v/>
      </c>
      <c r="E103" s="3">
        <f>IF(Loads!$A$103=1,Inputs!$F$116+0,0)</f>
        <v/>
      </c>
      <c r="F103" s="3">
        <f>IF(Loads!$A$103=1,IF(Loads!$B$103="boom",Loads!$B$23,1),0)</f>
        <v/>
      </c>
      <c r="G103" s="3">
        <f>Loads!$B$21*Loads!$B$22*IF(Loads!$A$103=1,Inputs!$E$116+0,0)*Loads!$E$103*Loads!$F$103</f>
        <v/>
      </c>
      <c r="H103" s="3">
        <f>-Loads!$D$103*Loads!$G$103</f>
        <v/>
      </c>
    </row>
    <row r="104">
      <c r="A104" s="3">
        <f>Inputs!$A$117</f>
        <v/>
      </c>
      <c r="B104" s="3">
        <f>IF(Loads!$A$104=1,Inputs!$C$117&amp;"","")</f>
        <v/>
      </c>
      <c r="C104" s="3">
        <f>IF(Loads!$A$104=1,IF(Inputs!$D$117="boom_local",Geometry!$B$17+Inputs!$H$117*Geometry!$B$14-Inputs!$I$117*Geometry!$B$15,Inputs!$J$117+0),0)</f>
        <v/>
      </c>
      <c r="D104" s="3">
        <f>IF(Loads!$A$104=1,IF(Inputs!$D$117="boom_local",Geometry!$B$18+Inputs!$H$117*Geometry!$B$15+Inputs!$I$117*Geometry!$B$14,Inputs!$K$117+0),0)</f>
        <v/>
      </c>
      <c r="E104" s="3">
        <f>IF(Loads!$A$104=1,Inputs!$F$117+0,0)</f>
        <v/>
      </c>
      <c r="F104" s="3">
        <f>IF(Loads!$A$104=1,IF(Loads!$B$104="boom",Loads!$B$23,1),0)</f>
        <v/>
      </c>
      <c r="G104" s="3">
        <f>Loads!$B$21*Loads!$B$22*IF(Loads!$A$104=1,Inputs!$E$117+0,0)*Loads!$E$104*Loads!$F$104</f>
        <v/>
      </c>
      <c r="H104" s="3">
        <f>-Loads!$D$104*Loads!$G$104</f>
        <v/>
      </c>
    </row>
    <row r="105">
      <c r="A105" s="3">
        <f>Inputs!$A$118</f>
        <v/>
      </c>
      <c r="B105" s="3">
        <f>IF(Loads!$A$105=1,Inputs!$C$118&amp;"","")</f>
        <v/>
      </c>
      <c r="C105" s="3">
        <f>IF(Loads!$A$105=1,IF(Inputs!$D$118="boom_local",Geometry!$B$17+Inputs!$H$118*Geometry!$B$14-Inputs!$I$118*Geometry!$B$15,Inputs!$J$118+0),0)</f>
        <v/>
      </c>
      <c r="D105" s="3">
        <f>IF(Loads!$A$105=1,IF(Inputs!$D$118="boom_local",Geometry!$B$18+Inputs!$H$118*Geometry!$B$15+Inputs!$I$118*Geometry!$B$14,Inputs!$K$118+0),0)</f>
        <v/>
      </c>
      <c r="E105" s="3">
        <f>IF(Loads!$A$105=1,Inputs!$F$118+0,0)</f>
        <v/>
      </c>
      <c r="F105" s="3">
        <f>IF(Loads!$A$105=1,IF(Loads!$B$105="boom",Loads!$B$23,1),0)</f>
        <v/>
      </c>
      <c r="G105" s="3">
        <f>Loads!$B$21*Loads!$B$22*IF(Loads!$A$105=1,Inputs!$E$118+0,0)*Loads!$E$105*Loads!$F$105</f>
        <v/>
      </c>
      <c r="H105" s="3">
        <f>-Loads!$D$105*Loads!$G$105</f>
        <v/>
      </c>
    </row>
    <row r="106">
      <c r="A106" s="3">
        <f>Inputs!$A$119</f>
        <v/>
      </c>
      <c r="B106" s="3">
        <f>IF(Loads!$A$106=1,Inputs!$C$119&amp;"","")</f>
        <v/>
      </c>
      <c r="C106" s="3">
        <f>IF(Loads!$A$106=1,IF(Inputs!$D$119="boom_local",Geometry!$B$17+Inputs!$H$119*Geometry!$B$14-Inputs!$I$119*Geometry!$B$15,Inputs!$J$119+0),0)</f>
        <v/>
      </c>
      <c r="D106" s="3">
        <f>IF(Loads!$A$106=1,IF(Inputs!$D$119="boom_local",Geometry!$B$18+Inputs!$H$119*Geometry!$B$15+Inputs!$I$119*Geometry!$B$14,Inputs!$K$119+0),0)</f>
        <v/>
      </c>
      <c r="E106" s="3">
        <f>IF(Loads!$A$106=1,Inputs!$F$119+0,0)</f>
        <v/>
      </c>
      <c r="F106" s="3">
        <f>IF(Loads!$A$106=1,IF(Loads!$B$106="boom",Loads!$B$23,1),0)</f>
        <v/>
      </c>
      <c r="G106" s="3">
        <f>Loads!$B$21*Loads!$B$22*IF(Loads!$A$106=1,Inputs!$E$119+0,0)*Loads!$E$106*Loads!$F$106</f>
        <v/>
      </c>
      <c r="H106" s="3">
        <f>-Loads!$D$106*Loads!$G$106</f>
        <v/>
      </c>
    </row>
    <row r="107">
      <c r="A107" s="3">
        <f>Inputs!$A$120</f>
        <v/>
      </c>
      <c r="B107" s="3">
        <f>IF(Loads!$A$107=1,Inputs!$C$120&amp;"","")</f>
        <v/>
      </c>
      <c r="C107" s="3">
        <f>IF(Loads!$A$107=1,IF(Inputs!$D$120="boom_local",Geometry!$B$17+Inputs!$H$120*Geometry!$B$14-Inputs!$I$120*Geometry!$B$15,Inputs!$J$120+0),0)</f>
        <v/>
      </c>
      <c r="D107" s="3">
        <f>IF(Loads!$A$107=1,IF(Inputs!$D$120="boom_local",Geometry!$B$18+Inputs!$H$120*Geometry!$B$15+Inputs!$I$120*Geometry!$B$14,Inputs!$K$120+0),0)</f>
        <v/>
      </c>
      <c r="E107" s="3">
        <f>IF(Loads!$A$107=1,Inputs!$F$120+0,0)</f>
        <v/>
      </c>
      <c r="F107" s="3">
        <f>IF(Loads!$A$107=1,IF(Loads!$B$107="boom",Loads!$B$23,1),0)</f>
        <v/>
      </c>
      <c r="G107" s="3">
        <f>Loads!$B$21*Loads!$B$22*IF(Loads!$A$107=1,Inputs!$E$120+0,0)*Loads!$E$107*Loads!$F$107</f>
        <v/>
      </c>
      <c r="H107" s="3">
        <f>-Loads!$D$107*Loads!$G$107</f>
        <v/>
      </c>
    </row>
    <row r="108">
      <c r="A108" s="3">
        <f>Inputs!$A$121</f>
        <v/>
      </c>
      <c r="B108" s="3">
        <f>IF(Loads!$A$108=1,Inputs!$C$121&amp;"","")</f>
        <v/>
      </c>
      <c r="C108" s="3">
        <f>IF(Loads!$A$108=1,IF(Inputs!$D$121="boom_local",Geometry!$B$17+Inputs!$H$121*Geometry!$B$14-Inputs!$I$121*Geometry!$B$15,Inputs!$J$121+0),0)</f>
        <v/>
      </c>
      <c r="D108" s="3">
        <f>IF(Loads!$A$108=1,IF(Inputs!$D$121="boom_local",Geometry!$B$18+Inputs!$H$121*Geometry!$B$15+Inputs!$I$121*Geometry!$B$14,Inputs!$K$121+0),0)</f>
        <v/>
      </c>
      <c r="E108" s="3">
        <f>IF(Loads!$A$108=1,Inputs!$F$121+0,0)</f>
        <v/>
      </c>
      <c r="F108" s="3">
        <f>IF(Loads!$A$108=1,IF(Loads!$B$108="boom",Loads!$B$23,1),0)</f>
        <v/>
      </c>
      <c r="G108" s="3">
        <f>Loads!$B$21*Loads!$B$22*IF(Loads!$A$108=1,Inputs!$E$121+0,0)*Loads!$E$108*Loads!$F$108</f>
        <v/>
      </c>
      <c r="H108" s="3">
        <f>-Loads!$D$108*Loads!$G$108</f>
        <v/>
      </c>
    </row>
    <row r="109">
      <c r="A109" s="3">
        <f>Inputs!$A$122</f>
        <v/>
      </c>
      <c r="B109" s="3">
        <f>IF(Loads!$A$109=1,Inputs!$C$122&amp;"","")</f>
        <v/>
      </c>
      <c r="C109" s="3">
        <f>IF(Loads!$A$109=1,IF(Inputs!$D$122="boom_local",Geometry!$B$17+Inputs!$H$122*Geometry!$B$14-Inputs!$I$122*Geometry!$B$15,Inputs!$J$122+0),0)</f>
        <v/>
      </c>
      <c r="D109" s="3">
        <f>IF(Loads!$A$109=1,IF(Inputs!$D$122="boom_local",Geometry!$B$18+Inputs!$H$122*Geometry!$B$15+Inputs!$I$122*Geometry!$B$14,Inputs!$K$122+0),0)</f>
        <v/>
      </c>
      <c r="E109" s="3">
        <f>IF(Loads!$A$109=1,Inputs!$F$122+0,0)</f>
        <v/>
      </c>
      <c r="F109" s="3">
        <f>IF(Loads!$A$109=1,IF(Loads!$B$109="boom",Loads!$B$23,1),0)</f>
        <v/>
      </c>
      <c r="G109" s="3">
        <f>Loads!$B$21*Loads!$B$22*IF(Loads!$A$109=1,Inputs!$E$122+0,0)*Loads!$E$109*Loads!$F$109</f>
        <v/>
      </c>
      <c r="H109" s="3">
        <f>-Loads!$D$109*Loads!$G$109</f>
        <v/>
      </c>
    </row>
    <row r="110">
      <c r="A110" s="3">
        <f>Inputs!$A$123</f>
        <v/>
      </c>
      <c r="B110" s="3">
        <f>IF(Loads!$A$110=1,Inputs!$C$123&amp;"","")</f>
        <v/>
      </c>
      <c r="C110" s="3">
        <f>IF(Loads!$A$110=1,IF(Inputs!$D$123="boom_local",Geometry!$B$17+Inputs!$H$123*Geometry!$B$14-Inputs!$I$123*Geometry!$B$15,Inputs!$J$123+0),0)</f>
        <v/>
      </c>
      <c r="D110" s="3">
        <f>IF(Loads!$A$110=1,IF(Inputs!$D$123="boom_local",Geometry!$B$18+Inputs!$H$123*Geometry!$B$15+Inputs!$I$123*Geometry!$B$14,Inputs!$K$123+0),0)</f>
        <v/>
      </c>
      <c r="E110" s="3">
        <f>IF(Loads!$A$110=1,Inputs!$F$123+0,0)</f>
        <v/>
      </c>
      <c r="F110" s="3">
        <f>IF(Loads!$A$110=1,IF(Loads!$B$110="boom",Loads!$B$23,1),0)</f>
        <v/>
      </c>
      <c r="G110" s="3">
        <f>Loads!$B$21*Loads!$B$22*IF(Loads!$A$110=1,Inputs!$E$123+0,0)*Loads!$E$110*Loads!$F$110</f>
        <v/>
      </c>
      <c r="H110" s="3">
        <f>-Loads!$D$110*Loads!$G$110</f>
        <v/>
      </c>
    </row>
    <row r="111">
      <c r="A111" s="3">
        <f>Inputs!$A$124</f>
        <v/>
      </c>
      <c r="B111" s="3">
        <f>IF(Loads!$A$111=1,Inputs!$C$124&amp;"","")</f>
        <v/>
      </c>
      <c r="C111" s="3">
        <f>IF(Loads!$A$111=1,IF(Inputs!$D$124="boom_local",Geometry!$B$17+Inputs!$H$124*Geometry!$B$14-Inputs!$I$124*Geometry!$B$15,Inputs!$J$124+0),0)</f>
        <v/>
      </c>
      <c r="D111" s="3">
        <f>IF(Loads!$A$111=1,IF(Inputs!$D$124="boom_local",Geometry!$B$18+Inputs!$H$124*Geometry!$B$15+Inputs!$I$124*Geometry!$B$14,Inputs!$K$124+0),0)</f>
        <v/>
      </c>
      <c r="E111" s="3">
        <f>IF(Loads!$A$111=1,Inputs!$F$124+0,0)</f>
        <v/>
      </c>
      <c r="F111" s="3">
        <f>IF(Loads!$A$111=1,IF(Loads!$B$111="boom",Loads!$B$23,1),0)</f>
        <v/>
      </c>
      <c r="G111" s="3">
        <f>Loads!$B$21*Loads!$B$22*IF(Loads!$A$111=1,Inputs!$E$124+0,0)*Loads!$E$111*Loads!$F$111</f>
        <v/>
      </c>
      <c r="H111" s="3">
        <f>-Loads!$D$111*Loads!$G$111</f>
        <v/>
      </c>
    </row>
    <row r="112">
      <c r="A112" s="3">
        <f>Inputs!$A$125</f>
        <v/>
      </c>
      <c r="B112" s="3">
        <f>IF(Loads!$A$112=1,Inputs!$C$125&amp;"","")</f>
        <v/>
      </c>
      <c r="C112" s="3">
        <f>IF(Loads!$A$112=1,IF(Inputs!$D$125="boom_local",Geometry!$B$17+Inputs!$H$125*Geometry!$B$14-Inputs!$I$125*Geometry!$B$15,Inputs!$J$125+0),0)</f>
        <v/>
      </c>
      <c r="D112" s="3">
        <f>IF(Loads!$A$112=1,IF(Inputs!$D$125="boom_local",Geometry!$B$18+Inputs!$H$125*Geometry!$B$15+Inputs!$I$125*Geometry!$B$14,Inputs!$K$125+0),0)</f>
        <v/>
      </c>
      <c r="E112" s="3">
        <f>IF(Loads!$A$112=1,Inputs!$F$125+0,0)</f>
        <v/>
      </c>
      <c r="F112" s="3">
        <f>IF(Loads!$A$112=1,IF(Loads!$B$112="boom",Loads!$B$23,1),0)</f>
        <v/>
      </c>
      <c r="G112" s="3">
        <f>Loads!$B$21*Loads!$B$22*IF(Loads!$A$112=1,Inputs!$E$125+0,0)*Loads!$E$112*Loads!$F$112</f>
        <v/>
      </c>
      <c r="H112" s="3">
        <f>-Loads!$D$112*Loads!$G$112</f>
        <v/>
      </c>
    </row>
    <row r="113">
      <c r="A113" s="3">
        <f>Inputs!$A$126</f>
        <v/>
      </c>
      <c r="B113" s="3">
        <f>IF(Loads!$A$113=1,Inputs!$C$126&amp;"","")</f>
        <v/>
      </c>
      <c r="C113" s="3">
        <f>IF(Loads!$A$113=1,IF(Inputs!$D$126="boom_local",Geometry!$B$17+Inputs!$H$126*Geometry!$B$14-Inputs!$I$126*Geometry!$B$15,Inputs!$J$126+0),0)</f>
        <v/>
      </c>
      <c r="D113" s="3">
        <f>IF(Loads!$A$113=1,IF(Inputs!$D$126="boom_local",Geometry!$B$18+Inputs!$H$126*Geometry!$B$15+Inputs!$I$126*Geometry!$B$14,Inputs!$K$126+0),0)</f>
        <v/>
      </c>
      <c r="E113" s="3">
        <f>IF(Loads!$A$113=1,Inputs!$F$126+0,0)</f>
        <v/>
      </c>
      <c r="F113" s="3">
        <f>IF(Loads!$A$113=1,IF(Loads!$B$113="boom",Loads!$B$23,1),0)</f>
        <v/>
      </c>
      <c r="G113" s="3">
        <f>Loads!$B$21*Loads!$B$22*IF(Loads!$A$113=1,Inputs!$E$126+0,0)*Loads!$E$113*Loads!$F$113</f>
        <v/>
      </c>
      <c r="H113" s="3">
        <f>-Loads!$D$113*Loads!$G$113</f>
        <v/>
      </c>
    </row>
    <row r="114">
      <c r="A114" s="3">
        <f>Inputs!$A$127</f>
        <v/>
      </c>
      <c r="B114" s="3">
        <f>IF(Loads!$A$114=1,Inputs!$C$127&amp;"","")</f>
        <v/>
      </c>
      <c r="C114" s="3">
        <f>IF(Loads!$A$114=1,IF(Inputs!$D$127="boom_local",Geometry!$B$17+Inputs!$H$127*Geometry!$B$14-Inputs!$I$127*Geometry!$B$15,Inputs!$J$127+0),0)</f>
        <v/>
      </c>
      <c r="D114" s="3">
        <f>IF(Loads!$A$114=1,IF(Inputs!$D$127="boom_local",Geometry!$B$18+Inputs!$H$127*Geometry!$B$15+Inputs!$I$127*Geometry!$B$14,Inputs!$K$127+0),0)</f>
        <v/>
      </c>
      <c r="E114" s="3">
        <f>IF(Loads!$A$114=1,Inputs!$F$127+0,0)</f>
        <v/>
      </c>
      <c r="F114" s="3">
        <f>IF(Loads!$A$114=1,IF(Loads!$B$114="boom",Loads!$B$23,1),0)</f>
        <v/>
      </c>
      <c r="G114" s="3">
        <f>Loads!$B$21*Loads!$B$22*IF(Loads!$A$114=1,Inputs!$E$127+0,0)*Loads!$E$114*Loads!$F$114</f>
        <v/>
      </c>
      <c r="H114" s="3">
        <f>-Loads!$D$114*Loads!$G$114</f>
        <v/>
      </c>
    </row>
    <row r="115">
      <c r="A115" s="3">
        <f>Inputs!$A$128</f>
        <v/>
      </c>
      <c r="B115" s="3">
        <f>IF(Loads!$A$115=1,Inputs!$C$128&amp;"","")</f>
        <v/>
      </c>
      <c r="C115" s="3">
        <f>IF(Loads!$A$115=1,IF(Inputs!$D$128="boom_local",Geometry!$B$17+Inputs!$H$128*Geometry!$B$14-Inputs!$I$128*Geometry!$B$15,Inputs!$J$128+0),0)</f>
        <v/>
      </c>
      <c r="D115" s="3">
        <f>IF(Loads!$A$115=1,IF(Inputs!$D$128="boom_local",Geometry!$B$18+Inputs!$H$128*Geometry!$B$15+Inputs!$I$128*Geometry!$B$14,Inputs!$K$128+0),0)</f>
        <v/>
      </c>
      <c r="E115" s="3">
        <f>IF(Loads!$A$115=1,Inputs!$F$128+0,0)</f>
        <v/>
      </c>
      <c r="F115" s="3">
        <f>IF(Loads!$A$115=1,IF(Loads!$B$115="boom",Loads!$B$23,1),0)</f>
        <v/>
      </c>
      <c r="G115" s="3">
        <f>Loads!$B$21*Loads!$B$22*IF(Loads!$A$115=1,Inputs!$E$128+0,0)*Loads!$E$115*Loads!$F$115</f>
        <v/>
      </c>
      <c r="H115" s="3">
        <f>-Loads!$D$115*Loads!$G$115</f>
        <v/>
      </c>
    </row>
    <row r="116">
      <c r="A116" s="3">
        <f>Inputs!$A$129</f>
        <v/>
      </c>
      <c r="B116" s="3">
        <f>IF(Loads!$A$116=1,Inputs!$C$129&amp;"","")</f>
        <v/>
      </c>
      <c r="C116" s="3">
        <f>IF(Loads!$A$116=1,IF(Inputs!$D$129="boom_local",Geometry!$B$17+Inputs!$H$129*Geometry!$B$14-Inputs!$I$129*Geometry!$B$15,Inputs!$J$129+0),0)</f>
        <v/>
      </c>
      <c r="D116" s="3">
        <f>IF(Loads!$A$116=1,IF(Inputs!$D$129="boom_local",Geometry!$B$18+Inputs!$H$129*Geometry!$B$15+Inputs!$I$129*Geometry!$B$14,Inputs!$K$129+0),0)</f>
        <v/>
      </c>
      <c r="E116" s="3">
        <f>IF(Loads!$A$116=1,Inputs!$F$129+0,0)</f>
        <v/>
      </c>
      <c r="F116" s="3">
        <f>IF(Loads!$A$116=1,IF(Loads!$B$116="boom",Loads!$B$23,1),0)</f>
        <v/>
      </c>
      <c r="G116" s="3">
        <f>Loads!$B$21*Loads!$B$22*IF(Loads!$A$116=1,Inputs!$E$129+0,0)*Loads!$E$116*Loads!$F$116</f>
        <v/>
      </c>
      <c r="H116" s="3">
        <f>-Loads!$D$116*Loads!$G$116</f>
        <v/>
      </c>
    </row>
    <row r="117">
      <c r="A117" s="3">
        <f>Inputs!$A$130</f>
        <v/>
      </c>
      <c r="B117" s="3">
        <f>IF(Loads!$A$117=1,Inputs!$C$130&amp;"","")</f>
        <v/>
      </c>
      <c r="C117" s="3">
        <f>IF(Loads!$A$117=1,IF(Inputs!$D$130="boom_local",Geometry!$B$17+Inputs!$H$130*Geometry!$B$14-Inputs!$I$130*Geometry!$B$15,Inputs!$J$130+0),0)</f>
        <v/>
      </c>
      <c r="D117" s="3">
        <f>IF(Loads!$A$117=1,IF(Inputs!$D$130="boom_local",Geometry!$B$18+Inputs!$H$130*Geometry!$B$15+Inputs!$I$130*Geometry!$B$14,Inputs!$K$130+0),0)</f>
        <v/>
      </c>
      <c r="E117" s="3">
        <f>IF(Loads!$A$117=1,Inputs!$F$130+0,0)</f>
        <v/>
      </c>
      <c r="F117" s="3">
        <f>IF(Loads!$A$117=1,IF(Loads!$B$117="boom",Loads!$B$23,1),0)</f>
        <v/>
      </c>
      <c r="G117" s="3">
        <f>Loads!$B$21*Loads!$B$22*IF(Loads!$A$117=1,Inputs!$E$130+0,0)*Loads!$E$117*Loads!$F$117</f>
        <v/>
      </c>
      <c r="H117" s="3">
        <f>-Loads!$D$117*Loads!$G$117</f>
        <v/>
      </c>
    </row>
    <row r="118">
      <c r="A118" s="3">
        <f>Inputs!$A$131</f>
        <v/>
      </c>
      <c r="B118" s="3">
        <f>IF(Loads!$A$118=1,Inputs!$C$131&amp;"","")</f>
        <v/>
      </c>
      <c r="C118" s="3">
        <f>IF(Loads!$A$118=1,IF(Inputs!$D$131="boom_local",Geometry!$B$17+Inputs!$H$131*Geometry!$B$14-Inputs!$I$131*Geometry!$B$15,Inputs!$J$131+0),0)</f>
        <v/>
      </c>
      <c r="D118" s="3">
        <f>IF(Loads!$A$118=1,IF(Inputs!$D$131="boom_local",Geometry!$B$18+Inputs!$H$131*Geometry!$B$15+Inputs!$I$131*Geometry!$B$14,Inputs!$K$131+0),0)</f>
        <v/>
      </c>
      <c r="E118" s="3">
        <f>IF(Loads!$A$118=1,Inputs!$F$131+0,0)</f>
        <v/>
      </c>
      <c r="F118" s="3">
        <f>IF(Loads!$A$118=1,IF(Loads!$B$118="boom",Loads!$B$23,1),0)</f>
        <v/>
      </c>
      <c r="G118" s="3">
        <f>Loads!$B$21*Loads!$B$22*IF(Loads!$A$118=1,Inputs!$E$131+0,0)*Loads!$E$118*Loads!$F$118</f>
        <v/>
      </c>
      <c r="H118" s="3">
        <f>-Loads!$D$118*Loads!$G$118</f>
        <v/>
      </c>
    </row>
    <row r="122">
      <c r="A122" s="6" t="inlineStr">
        <is>
          <t>Rope tensions (row i = Inputs ropes row i)</t>
        </is>
      </c>
    </row>
    <row r="123">
      <c r="A123" s="8" t="inlineStr">
        <is>
          <t>Active [1/0]</t>
        </is>
      </c>
      <c r="B123" s="8" t="inlineStr">
        <is>
          <t>Rope id</t>
        </is>
      </c>
      <c r="C123" s="8" t="inlineStr">
        <is>
          <t>Rope id if active</t>
        </is>
      </c>
      <c r="D123" s="8" t="inlineStr">
        <is>
          <t>Role</t>
        </is>
      </c>
      <c r="E123" s="8" t="inlineStr">
        <is>
          <t>Solve rope [1/0]</t>
        </is>
      </c>
      <c r="F123" s="8" t="inlineStr">
        <is>
          <t>Scene hoist's rope [1/0]</t>
        </is>
      </c>
      <c r="G123" s="8" t="inlineStr">
        <is>
          <t>Row of its hoist in hoists [row]</t>
        </is>
      </c>
      <c r="H123" s="8" t="inlineStr">
        <is>
          <t>Its hoist's hook node</t>
        </is>
      </c>
      <c r="I123" s="8" t="inlineStr">
        <is>
          <t>Parts at the hook</t>
        </is>
      </c>
      <c r="J123" s="8" t="inlineStr">
        <is>
          <t>Its hoist's hook mass [t]</t>
        </is>
      </c>
      <c r="K123" s="8" t="inlineStr">
        <is>
          <t>Tension [kN]</t>
        </is>
      </c>
    </row>
    <row r="124">
      <c r="A124" s="7" t="inlineStr">
        <is>
          <t>active (from Inputs)</t>
        </is>
      </c>
      <c r="B124" s="7" t="inlineStr">
        <is>
          <t>id</t>
        </is>
      </c>
      <c r="C124" s="7" t="inlineStr">
        <is>
          <t>id_key ('' if spare)</t>
        </is>
      </c>
      <c r="D124" s="7" t="inlineStr">
        <is>
          <t>role</t>
        </is>
      </c>
      <c r="E124" s="7" t="inlineStr">
        <is>
          <t>is_solve</t>
        </is>
      </c>
      <c r="F124" s="7" t="inlineStr">
        <is>
          <t>is_scene</t>
        </is>
      </c>
      <c r="G124" s="7" t="inlineStr">
        <is>
          <t>hoist_row (first active hoist; 0 = none)</t>
        </is>
      </c>
      <c r="H124" s="7" t="inlineStr">
        <is>
          <t>hook_node_id</t>
        </is>
      </c>
      <c r="I124" s="7" t="inlineStr">
        <is>
          <t>n_parts (max(1, sum of mults touching the hook))</t>
        </is>
      </c>
      <c r="J124" s="7" t="inlineStr">
        <is>
          <t>hook_mass_t</t>
        </is>
      </c>
      <c r="K124" s="7" t="inlineStr">
        <is>
          <t>tension_kN (0 for the solve rope (solved on Statics))</t>
        </is>
      </c>
    </row>
    <row r="125">
      <c r="A125" s="3">
        <f>Inputs!$A$290</f>
        <v/>
      </c>
      <c r="B125" s="3">
        <f>IF(Loads!$A$125=1,Inputs!$B$290&amp;"","")</f>
        <v/>
      </c>
      <c r="C125" s="3">
        <f>Loads!$B$125</f>
        <v/>
      </c>
      <c r="D125" s="3">
        <f>IF(Loads!$A$125=1,Inputs!$C$290&amp;"","")</f>
        <v/>
      </c>
      <c r="E125" s="3">
        <f>IF(AND(Loads!$A$125=1,Loads!$D$125="solve"),1,0)</f>
        <v/>
      </c>
      <c r="F125" s="3">
        <f>IF(AND(Loads!$A$125=1,Loads!$B$125&lt;&gt;"",Loads!$B$125=Loads!$B$28),1,0)</f>
        <v/>
      </c>
      <c r="G125" s="3">
        <f>IF(AND(Loads!$A$125=1,Loads!$B$125&lt;&gt;""),IFERROR(MATCH(Loads!$B$125,Loads!$C$139:$C$146,0),0),0)</f>
        <v/>
      </c>
      <c r="H125" s="3">
        <f>IF(Loads!$G$125&gt;0,INDEX(Inputs!$D$304:$D$311,Loads!$G$125)&amp;"","")</f>
        <v/>
      </c>
      <c r="I125" s="3">
        <f>IF(Loads!$A$125=1,MAX(1,INT(IF(Loads!$H$125="",0,SUMIFS(Inputs!$E$224:$E$283,Inputs!$B$224:$B$283,Loads!$B$125,Inputs!$C$224:$C$283,Loads!$H$125,Inputs!$A$224:$A$283,1)+SUMIFS(Inputs!$E$224:$E$283,Inputs!$B$224:$B$283,Loads!$B$125,Inputs!$D$224:$D$283,Loads!$H$125,Inputs!$A$224:$A$283,1)))),0)</f>
        <v/>
      </c>
      <c r="J125" s="3">
        <f>IF(Loads!$G$125&gt;0,INDEX(Inputs!$G$304:$G$311,Loads!$G$125)+0,0)</f>
        <v/>
      </c>
      <c r="K125" s="3">
        <f>IF(OR(Loads!$A$125&lt;&gt;1,Loads!$E$125=1),0,IF(Loads!$F$125=1,Loads!$B$24/Loads!$I$125,IF(Loads!$G$125&gt;0,Loads!$J$125*Loads!$B$20/Loads!$I$125,0)))</f>
        <v/>
      </c>
    </row>
    <row r="126">
      <c r="A126" s="3">
        <f>Inputs!$A$291</f>
        <v/>
      </c>
      <c r="B126" s="3">
        <f>IF(Loads!$A$126=1,Inputs!$B$291&amp;"","")</f>
        <v/>
      </c>
      <c r="C126" s="3">
        <f>Loads!$B$126</f>
        <v/>
      </c>
      <c r="D126" s="3">
        <f>IF(Loads!$A$126=1,Inputs!$C$291&amp;"","")</f>
        <v/>
      </c>
      <c r="E126" s="3">
        <f>IF(AND(Loads!$A$126=1,Loads!$D$126="solve"),1,0)</f>
        <v/>
      </c>
      <c r="F126" s="3">
        <f>IF(AND(Loads!$A$126=1,Loads!$B$126&lt;&gt;"",Loads!$B$126=Loads!$B$28),1,0)</f>
        <v/>
      </c>
      <c r="G126" s="3">
        <f>IF(AND(Loads!$A$126=1,Loads!$B$126&lt;&gt;""),IFERROR(MATCH(Loads!$B$126,Loads!$C$139:$C$146,0),0),0)</f>
        <v/>
      </c>
      <c r="H126" s="3">
        <f>IF(Loads!$G$126&gt;0,INDEX(Inputs!$D$304:$D$311,Loads!$G$126)&amp;"","")</f>
        <v/>
      </c>
      <c r="I126" s="3">
        <f>IF(Loads!$A$126=1,MAX(1,INT(IF(Loads!$H$126="",0,SUMIFS(Inputs!$E$224:$E$283,Inputs!$B$224:$B$283,Loads!$B$126,Inputs!$C$224:$C$283,Loads!$H$126,Inputs!$A$224:$A$283,1)+SUMIFS(Inputs!$E$224:$E$283,Inputs!$B$224:$B$283,Loads!$B$126,Inputs!$D$224:$D$283,Loads!$H$126,Inputs!$A$224:$A$283,1)))),0)</f>
        <v/>
      </c>
      <c r="J126" s="3">
        <f>IF(Loads!$G$126&gt;0,INDEX(Inputs!$G$304:$G$311,Loads!$G$126)+0,0)</f>
        <v/>
      </c>
      <c r="K126" s="3">
        <f>IF(OR(Loads!$A$126&lt;&gt;1,Loads!$E$126=1),0,IF(Loads!$F$126=1,Loads!$B$24/Loads!$I$126,IF(Loads!$G$126&gt;0,Loads!$J$126*Loads!$B$20/Loads!$I$126,0)))</f>
        <v/>
      </c>
    </row>
    <row r="127">
      <c r="A127" s="3">
        <f>Inputs!$A$292</f>
        <v/>
      </c>
      <c r="B127" s="3">
        <f>IF(Loads!$A$127=1,Inputs!$B$292&amp;"","")</f>
        <v/>
      </c>
      <c r="C127" s="3">
        <f>Loads!$B$127</f>
        <v/>
      </c>
      <c r="D127" s="3">
        <f>IF(Loads!$A$127=1,Inputs!$C$292&amp;"","")</f>
        <v/>
      </c>
      <c r="E127" s="3">
        <f>IF(AND(Loads!$A$127=1,Loads!$D$127="solve"),1,0)</f>
        <v/>
      </c>
      <c r="F127" s="3">
        <f>IF(AND(Loads!$A$127=1,Loads!$B$127&lt;&gt;"",Loads!$B$127=Loads!$B$28),1,0)</f>
        <v/>
      </c>
      <c r="G127" s="3">
        <f>IF(AND(Loads!$A$127=1,Loads!$B$127&lt;&gt;""),IFERROR(MATCH(Loads!$B$127,Loads!$C$139:$C$146,0),0),0)</f>
        <v/>
      </c>
      <c r="H127" s="3">
        <f>IF(Loads!$G$127&gt;0,INDEX(Inputs!$D$304:$D$311,Loads!$G$127)&amp;"","")</f>
        <v/>
      </c>
      <c r="I127" s="3">
        <f>IF(Loads!$A$127=1,MAX(1,INT(IF(Loads!$H$127="",0,SUMIFS(Inputs!$E$224:$E$283,Inputs!$B$224:$B$283,Loads!$B$127,Inputs!$C$224:$C$283,Loads!$H$127,Inputs!$A$224:$A$283,1)+SUMIFS(Inputs!$E$224:$E$283,Inputs!$B$224:$B$283,Loads!$B$127,Inputs!$D$224:$D$283,Loads!$H$127,Inputs!$A$224:$A$283,1)))),0)</f>
        <v/>
      </c>
      <c r="J127" s="3">
        <f>IF(Loads!$G$127&gt;0,INDEX(Inputs!$G$304:$G$311,Loads!$G$127)+0,0)</f>
        <v/>
      </c>
      <c r="K127" s="3">
        <f>IF(OR(Loads!$A$127&lt;&gt;1,Loads!$E$127=1),0,IF(Loads!$F$127=1,Loads!$B$24/Loads!$I$127,IF(Loads!$G$127&gt;0,Loads!$J$127*Loads!$B$20/Loads!$I$127,0)))</f>
        <v/>
      </c>
    </row>
    <row r="128">
      <c r="A128" s="3">
        <f>Inputs!$A$293</f>
        <v/>
      </c>
      <c r="B128" s="3">
        <f>IF(Loads!$A$128=1,Inputs!$B$293&amp;"","")</f>
        <v/>
      </c>
      <c r="C128" s="3">
        <f>Loads!$B$128</f>
        <v/>
      </c>
      <c r="D128" s="3">
        <f>IF(Loads!$A$128=1,Inputs!$C$293&amp;"","")</f>
        <v/>
      </c>
      <c r="E128" s="3">
        <f>IF(AND(Loads!$A$128=1,Loads!$D$128="solve"),1,0)</f>
        <v/>
      </c>
      <c r="F128" s="3">
        <f>IF(AND(Loads!$A$128=1,Loads!$B$128&lt;&gt;"",Loads!$B$128=Loads!$B$28),1,0)</f>
        <v/>
      </c>
      <c r="G128" s="3">
        <f>IF(AND(Loads!$A$128=1,Loads!$B$128&lt;&gt;""),IFERROR(MATCH(Loads!$B$128,Loads!$C$139:$C$146,0),0),0)</f>
        <v/>
      </c>
      <c r="H128" s="3">
        <f>IF(Loads!$G$128&gt;0,INDEX(Inputs!$D$304:$D$311,Loads!$G$128)&amp;"","")</f>
        <v/>
      </c>
      <c r="I128" s="3">
        <f>IF(Loads!$A$128=1,MAX(1,INT(IF(Loads!$H$128="",0,SUMIFS(Inputs!$E$224:$E$283,Inputs!$B$224:$B$283,Loads!$B$128,Inputs!$C$224:$C$283,Loads!$H$128,Inputs!$A$224:$A$283,1)+SUMIFS(Inputs!$E$224:$E$283,Inputs!$B$224:$B$283,Loads!$B$128,Inputs!$D$224:$D$283,Loads!$H$128,Inputs!$A$224:$A$283,1)))),0)</f>
        <v/>
      </c>
      <c r="J128" s="3">
        <f>IF(Loads!$G$128&gt;0,INDEX(Inputs!$G$304:$G$311,Loads!$G$128)+0,0)</f>
        <v/>
      </c>
      <c r="K128" s="3">
        <f>IF(OR(Loads!$A$128&lt;&gt;1,Loads!$E$128=1),0,IF(Loads!$F$128=1,Loads!$B$24/Loads!$I$128,IF(Loads!$G$128&gt;0,Loads!$J$128*Loads!$B$20/Loads!$I$128,0)))</f>
        <v/>
      </c>
    </row>
    <row r="129">
      <c r="A129" s="3">
        <f>Inputs!$A$294</f>
        <v/>
      </c>
      <c r="B129" s="3">
        <f>IF(Loads!$A$129=1,Inputs!$B$294&amp;"","")</f>
        <v/>
      </c>
      <c r="C129" s="3">
        <f>Loads!$B$129</f>
        <v/>
      </c>
      <c r="D129" s="3">
        <f>IF(Loads!$A$129=1,Inputs!$C$294&amp;"","")</f>
        <v/>
      </c>
      <c r="E129" s="3">
        <f>IF(AND(Loads!$A$129=1,Loads!$D$129="solve"),1,0)</f>
        <v/>
      </c>
      <c r="F129" s="3">
        <f>IF(AND(Loads!$A$129=1,Loads!$B$129&lt;&gt;"",Loads!$B$129=Loads!$B$28),1,0)</f>
        <v/>
      </c>
      <c r="G129" s="3">
        <f>IF(AND(Loads!$A$129=1,Loads!$B$129&lt;&gt;""),IFERROR(MATCH(Loads!$B$129,Loads!$C$139:$C$146,0),0),0)</f>
        <v/>
      </c>
      <c r="H129" s="3">
        <f>IF(Loads!$G$129&gt;0,INDEX(Inputs!$D$304:$D$311,Loads!$G$129)&amp;"","")</f>
        <v/>
      </c>
      <c r="I129" s="3">
        <f>IF(Loads!$A$129=1,MAX(1,INT(IF(Loads!$H$129="",0,SUMIFS(Inputs!$E$224:$E$283,Inputs!$B$224:$B$283,Loads!$B$129,Inputs!$C$224:$C$283,Loads!$H$129,Inputs!$A$224:$A$283,1)+SUMIFS(Inputs!$E$224:$E$283,Inputs!$B$224:$B$283,Loads!$B$129,Inputs!$D$224:$D$283,Loads!$H$129,Inputs!$A$224:$A$283,1)))),0)</f>
        <v/>
      </c>
      <c r="J129" s="3">
        <f>IF(Loads!$G$129&gt;0,INDEX(Inputs!$G$304:$G$311,Loads!$G$129)+0,0)</f>
        <v/>
      </c>
      <c r="K129" s="3">
        <f>IF(OR(Loads!$A$129&lt;&gt;1,Loads!$E$129=1),0,IF(Loads!$F$129=1,Loads!$B$24/Loads!$I$129,IF(Loads!$G$129&gt;0,Loads!$J$129*Loads!$B$20/Loads!$I$129,0)))</f>
        <v/>
      </c>
    </row>
    <row r="130">
      <c r="A130" s="3">
        <f>Inputs!$A$295</f>
        <v/>
      </c>
      <c r="B130" s="3">
        <f>IF(Loads!$A$130=1,Inputs!$B$295&amp;"","")</f>
        <v/>
      </c>
      <c r="C130" s="3">
        <f>Loads!$B$130</f>
        <v/>
      </c>
      <c r="D130" s="3">
        <f>IF(Loads!$A$130=1,Inputs!$C$295&amp;"","")</f>
        <v/>
      </c>
      <c r="E130" s="3">
        <f>IF(AND(Loads!$A$130=1,Loads!$D$130="solve"),1,0)</f>
        <v/>
      </c>
      <c r="F130" s="3">
        <f>IF(AND(Loads!$A$130=1,Loads!$B$130&lt;&gt;"",Loads!$B$130=Loads!$B$28),1,0)</f>
        <v/>
      </c>
      <c r="G130" s="3">
        <f>IF(AND(Loads!$A$130=1,Loads!$B$130&lt;&gt;""),IFERROR(MATCH(Loads!$B$130,Loads!$C$139:$C$146,0),0),0)</f>
        <v/>
      </c>
      <c r="H130" s="3">
        <f>IF(Loads!$G$130&gt;0,INDEX(Inputs!$D$304:$D$311,Loads!$G$130)&amp;"","")</f>
        <v/>
      </c>
      <c r="I130" s="3">
        <f>IF(Loads!$A$130=1,MAX(1,INT(IF(Loads!$H$130="",0,SUMIFS(Inputs!$E$224:$E$283,Inputs!$B$224:$B$283,Loads!$B$130,Inputs!$C$224:$C$283,Loads!$H$130,Inputs!$A$224:$A$283,1)+SUMIFS(Inputs!$E$224:$E$283,Inputs!$B$224:$B$283,Loads!$B$130,Inputs!$D$224:$D$283,Loads!$H$130,Inputs!$A$224:$A$283,1)))),0)</f>
        <v/>
      </c>
      <c r="J130" s="3">
        <f>IF(Loads!$G$130&gt;0,INDEX(Inputs!$G$304:$G$311,Loads!$G$130)+0,0)</f>
        <v/>
      </c>
      <c r="K130" s="3">
        <f>IF(OR(Loads!$A$130&lt;&gt;1,Loads!$E$130=1),0,IF(Loads!$F$130=1,Loads!$B$24/Loads!$I$130,IF(Loads!$G$130&gt;0,Loads!$J$130*Loads!$B$20/Loads!$I$130,0)))</f>
        <v/>
      </c>
    </row>
    <row r="131">
      <c r="A131" s="3">
        <f>Inputs!$A$296</f>
        <v/>
      </c>
      <c r="B131" s="3">
        <f>IF(Loads!$A$131=1,Inputs!$B$296&amp;"","")</f>
        <v/>
      </c>
      <c r="C131" s="3">
        <f>Loads!$B$131</f>
        <v/>
      </c>
      <c r="D131" s="3">
        <f>IF(Loads!$A$131=1,Inputs!$C$296&amp;"","")</f>
        <v/>
      </c>
      <c r="E131" s="3">
        <f>IF(AND(Loads!$A$131=1,Loads!$D$131="solve"),1,0)</f>
        <v/>
      </c>
      <c r="F131" s="3">
        <f>IF(AND(Loads!$A$131=1,Loads!$B$131&lt;&gt;"",Loads!$B$131=Loads!$B$28),1,0)</f>
        <v/>
      </c>
      <c r="G131" s="3">
        <f>IF(AND(Loads!$A$131=1,Loads!$B$131&lt;&gt;""),IFERROR(MATCH(Loads!$B$131,Loads!$C$139:$C$146,0),0),0)</f>
        <v/>
      </c>
      <c r="H131" s="3">
        <f>IF(Loads!$G$131&gt;0,INDEX(Inputs!$D$304:$D$311,Loads!$G$131)&amp;"","")</f>
        <v/>
      </c>
      <c r="I131" s="3">
        <f>IF(Loads!$A$131=1,MAX(1,INT(IF(Loads!$H$131="",0,SUMIFS(Inputs!$E$224:$E$283,Inputs!$B$224:$B$283,Loads!$B$131,Inputs!$C$224:$C$283,Loads!$H$131,Inputs!$A$224:$A$283,1)+SUMIFS(Inputs!$E$224:$E$283,Inputs!$B$224:$B$283,Loads!$B$131,Inputs!$D$224:$D$283,Loads!$H$131,Inputs!$A$224:$A$283,1)))),0)</f>
        <v/>
      </c>
      <c r="J131" s="3">
        <f>IF(Loads!$G$131&gt;0,INDEX(Inputs!$G$304:$G$311,Loads!$G$131)+0,0)</f>
        <v/>
      </c>
      <c r="K131" s="3">
        <f>IF(OR(Loads!$A$131&lt;&gt;1,Loads!$E$131=1),0,IF(Loads!$F$131=1,Loads!$B$24/Loads!$I$131,IF(Loads!$G$131&gt;0,Loads!$J$131*Loads!$B$20/Loads!$I$131,0)))</f>
        <v/>
      </c>
    </row>
    <row r="132">
      <c r="A132" s="3">
        <f>Inputs!$A$297</f>
        <v/>
      </c>
      <c r="B132" s="3">
        <f>IF(Loads!$A$132=1,Inputs!$B$297&amp;"","")</f>
        <v/>
      </c>
      <c r="C132" s="3">
        <f>Loads!$B$132</f>
        <v/>
      </c>
      <c r="D132" s="3">
        <f>IF(Loads!$A$132=1,Inputs!$C$297&amp;"","")</f>
        <v/>
      </c>
      <c r="E132" s="3">
        <f>IF(AND(Loads!$A$132=1,Loads!$D$132="solve"),1,0)</f>
        <v/>
      </c>
      <c r="F132" s="3">
        <f>IF(AND(Loads!$A$132=1,Loads!$B$132&lt;&gt;"",Loads!$B$132=Loads!$B$28),1,0)</f>
        <v/>
      </c>
      <c r="G132" s="3">
        <f>IF(AND(Loads!$A$132=1,Loads!$B$132&lt;&gt;""),IFERROR(MATCH(Loads!$B$132,Loads!$C$139:$C$146,0),0),0)</f>
        <v/>
      </c>
      <c r="H132" s="3">
        <f>IF(Loads!$G$132&gt;0,INDEX(Inputs!$D$304:$D$311,Loads!$G$132)&amp;"","")</f>
        <v/>
      </c>
      <c r="I132" s="3">
        <f>IF(Loads!$A$132=1,MAX(1,INT(IF(Loads!$H$132="",0,SUMIFS(Inputs!$E$224:$E$283,Inputs!$B$224:$B$283,Loads!$B$132,Inputs!$C$224:$C$283,Loads!$H$132,Inputs!$A$224:$A$283,1)+SUMIFS(Inputs!$E$224:$E$283,Inputs!$B$224:$B$283,Loads!$B$132,Inputs!$D$224:$D$283,Loads!$H$132,Inputs!$A$224:$A$283,1)))),0)</f>
        <v/>
      </c>
      <c r="J132" s="3">
        <f>IF(Loads!$G$132&gt;0,INDEX(Inputs!$G$304:$G$311,Loads!$G$132)+0,0)</f>
        <v/>
      </c>
      <c r="K132" s="3">
        <f>IF(OR(Loads!$A$132&lt;&gt;1,Loads!$E$132=1),0,IF(Loads!$F$132=1,Loads!$B$24/Loads!$I$132,IF(Loads!$G$132&gt;0,Loads!$J$132*Loads!$B$20/Loads!$I$132,0)))</f>
        <v/>
      </c>
    </row>
    <row r="136">
      <c r="A136" s="6" t="inlineStr">
        <is>
          <t>Hoist rope mass and idle hooks (row i = Inputs hoists row i)</t>
        </is>
      </c>
    </row>
    <row r="137">
      <c r="A137" s="8" t="inlineStr">
        <is>
          <t>Active [1/0]</t>
        </is>
      </c>
      <c r="B137" s="8" t="inlineStr">
        <is>
          <t>Hoist id if active</t>
        </is>
      </c>
      <c r="C137" s="8" t="inlineStr">
        <is>
          <t>Rope id if active</t>
        </is>
      </c>
      <c r="D137" s="8" t="inlineStr">
        <is>
          <t>Scene hoist [1/0]</t>
        </is>
      </c>
      <c r="E137" s="8" t="inlineStr">
        <is>
          <t>Rope is an active rope [1/0]</t>
        </is>
      </c>
      <c r="F137" s="8" t="inlineStr">
        <is>
          <t>Rope linear mass used [kg/m]</t>
        </is>
      </c>
      <c r="G137" s="8" t="inlineStr">
        <is>
          <t>Row of the hook node in nodes [row]</t>
        </is>
      </c>
      <c r="H137" s="8" t="inlineStr">
        <is>
          <t>Reeved length (sum length x parts) [m]</t>
        </is>
      </c>
      <c r="I137" s="8" t="inlineStr">
        <is>
          <t>Spool node</t>
        </is>
      </c>
      <c r="J137" s="8" t="inlineStr">
        <is>
          <t>Spooled length max(0, total - reeved) [m]</t>
        </is>
      </c>
      <c r="K137" s="8" t="inlineStr">
        <is>
          <t>Spooled rope mass [t]</t>
        </is>
      </c>
      <c r="L137" s="8" t="inlineStr">
        <is>
          <t>Idle hook block mass [t]</t>
        </is>
      </c>
    </row>
    <row r="138">
      <c r="A138" s="7" t="inlineStr">
        <is>
          <t>active (from Inputs)</t>
        </is>
      </c>
      <c r="B138" s="7" t="inlineStr">
        <is>
          <t>id_key</t>
        </is>
      </c>
      <c r="C138" s="7" t="inlineStr">
        <is>
          <t>rope_key</t>
        </is>
      </c>
      <c r="D138" s="7" t="inlineStr">
        <is>
          <t>is_scene</t>
        </is>
      </c>
      <c r="E138" s="7" t="inlineStr">
        <is>
          <t>rope_ok</t>
        </is>
      </c>
      <c r="F138" s="7" t="inlineStr">
        <is>
          <t>linear_mass_kg_m (0 if no rope)</t>
        </is>
      </c>
      <c r="G138" s="7" t="inlineStr">
        <is>
          <t>hook_row (0 = missing)</t>
        </is>
      </c>
      <c r="H138" s="7" t="inlineStr">
        <is>
          <t>reeved_m</t>
        </is>
      </c>
      <c r="I138" s="7" t="inlineStr">
        <is>
          <t>spool_node_id (first flagged node on its rope)</t>
        </is>
      </c>
      <c r="J138" s="7" t="inlineStr">
        <is>
          <t>spooled_m</t>
        </is>
      </c>
      <c r="K138" s="7" t="inlineStr">
        <is>
          <t>spooled_t</t>
        </is>
      </c>
      <c r="L138" s="7" t="inlineStr">
        <is>
          <t>idle_mass_t (0 for the scene hoist)</t>
        </is>
      </c>
    </row>
    <row r="139">
      <c r="A139" s="3">
        <f>Inputs!$A$304</f>
        <v/>
      </c>
      <c r="B139" s="3">
        <f>IF(Loads!$A$139=1,Inputs!$B$304&amp;"","")</f>
        <v/>
      </c>
      <c r="C139" s="3">
        <f>IF(Loads!$A$139=1,Inputs!$C$304&amp;"","")</f>
        <v/>
      </c>
      <c r="D139" s="3">
        <f>IF(AND(Loads!$A$139=1,Loads!$B$139&lt;&gt;"",Loads!$B$139=Inputs!$B$26),1,0)</f>
        <v/>
      </c>
      <c r="E139" s="3">
        <f>IF(AND(Loads!$A$139=1,Loads!$C$139&lt;&gt;""),IF(COUNTIFS(Loads!$C$125:$C$132,Loads!$C$139)&gt;0,1,0),0)</f>
        <v/>
      </c>
      <c r="F139" s="3">
        <f>IF(AND(Loads!$E$139=1,Inputs!$K$304&gt;1E-9),Inputs!$K$304+0,0)</f>
        <v/>
      </c>
      <c r="G139" s="3">
        <f>IF(AND(Loads!$A$139=1,Inputs!$D$304&lt;&gt;""),IFERROR(MATCH(Inputs!$D$304&amp;"",Geometry!$B$58:$B$137,0),0),0)</f>
        <v/>
      </c>
      <c r="H139" s="3">
        <f>IF(Loads!$E$139=1,SUMIFS(Loads!$T$153:$T$212,Loads!$B$153:$B$212,Loads!$C$139),0)</f>
        <v/>
      </c>
      <c r="I139" s="3">
        <f>IF(Loads!$E$139=1,IFERROR(INDEX(Loads!$W$153:$W$212,MATCH(Loads!$C$139,Loads!$Z$153:$Z$212,0))&amp;"",""),"")</f>
        <v/>
      </c>
      <c r="J139" s="3">
        <f>IF(AND(Loads!$F$139&gt;0,Loads!$I$139&lt;&gt;"",Inputs!$L$304&lt;&gt;""),MAX(0,Inputs!$L$304-Loads!$H$139),0)</f>
        <v/>
      </c>
      <c r="K139" s="3">
        <f>Loads!$J$139*Loads!$F$139/1000</f>
        <v/>
      </c>
      <c r="L139" s="3">
        <f>IF(AND(Loads!$A$139=1,Loads!$D$139=0,Loads!$G$139&gt;0,Inputs!$G$304&gt;0),Inputs!$G$304+0,0)</f>
        <v/>
      </c>
    </row>
    <row r="140">
      <c r="A140" s="3">
        <f>Inputs!$A$305</f>
        <v/>
      </c>
      <c r="B140" s="3">
        <f>IF(Loads!$A$140=1,Inputs!$B$305&amp;"","")</f>
        <v/>
      </c>
      <c r="C140" s="3">
        <f>IF(Loads!$A$140=1,Inputs!$C$305&amp;"","")</f>
        <v/>
      </c>
      <c r="D140" s="3">
        <f>IF(AND(Loads!$A$140=1,Loads!$B$140&lt;&gt;"",Loads!$B$140=Inputs!$B$26),1,0)</f>
        <v/>
      </c>
      <c r="E140" s="3">
        <f>IF(AND(Loads!$A$140=1,Loads!$C$140&lt;&gt;""),IF(COUNTIFS(Loads!$C$125:$C$132,Loads!$C$140)&gt;0,1,0),0)</f>
        <v/>
      </c>
      <c r="F140" s="3">
        <f>IF(AND(Loads!$E$140=1,Inputs!$K$305&gt;1E-9),Inputs!$K$305+0,0)</f>
        <v/>
      </c>
      <c r="G140" s="3">
        <f>IF(AND(Loads!$A$140=1,Inputs!$D$305&lt;&gt;""),IFERROR(MATCH(Inputs!$D$305&amp;"",Geometry!$B$58:$B$137,0),0),0)</f>
        <v/>
      </c>
      <c r="H140" s="3">
        <f>IF(Loads!$E$140=1,SUMIFS(Loads!$T$153:$T$212,Loads!$B$153:$B$212,Loads!$C$140),0)</f>
        <v/>
      </c>
      <c r="I140" s="3">
        <f>IF(Loads!$E$140=1,IFERROR(INDEX(Loads!$W$153:$W$212,MATCH(Loads!$C$140,Loads!$Z$153:$Z$212,0))&amp;"",""),"")</f>
        <v/>
      </c>
      <c r="J140" s="3">
        <f>IF(AND(Loads!$F$140&gt;0,Loads!$I$140&lt;&gt;"",Inputs!$L$305&lt;&gt;""),MAX(0,Inputs!$L$305-Loads!$H$140),0)</f>
        <v/>
      </c>
      <c r="K140" s="3">
        <f>Loads!$J$140*Loads!$F$140/1000</f>
        <v/>
      </c>
      <c r="L140" s="3">
        <f>IF(AND(Loads!$A$140=1,Loads!$D$140=0,Loads!$G$140&gt;0,Inputs!$G$305&gt;0),Inputs!$G$305+0,0)</f>
        <v/>
      </c>
    </row>
    <row r="141">
      <c r="A141" s="3">
        <f>Inputs!$A$306</f>
        <v/>
      </c>
      <c r="B141" s="3">
        <f>IF(Loads!$A$141=1,Inputs!$B$306&amp;"","")</f>
        <v/>
      </c>
      <c r="C141" s="3">
        <f>IF(Loads!$A$141=1,Inputs!$C$306&amp;"","")</f>
        <v/>
      </c>
      <c r="D141" s="3">
        <f>IF(AND(Loads!$A$141=1,Loads!$B$141&lt;&gt;"",Loads!$B$141=Inputs!$B$26),1,0)</f>
        <v/>
      </c>
      <c r="E141" s="3">
        <f>IF(AND(Loads!$A$141=1,Loads!$C$141&lt;&gt;""),IF(COUNTIFS(Loads!$C$125:$C$132,Loads!$C$141)&gt;0,1,0),0)</f>
        <v/>
      </c>
      <c r="F141" s="3">
        <f>IF(AND(Loads!$E$141=1,Inputs!$K$306&gt;1E-9),Inputs!$K$306+0,0)</f>
        <v/>
      </c>
      <c r="G141" s="3">
        <f>IF(AND(Loads!$A$141=1,Inputs!$D$306&lt;&gt;""),IFERROR(MATCH(Inputs!$D$306&amp;"",Geometry!$B$58:$B$137,0),0),0)</f>
        <v/>
      </c>
      <c r="H141" s="3">
        <f>IF(Loads!$E$141=1,SUMIFS(Loads!$T$153:$T$212,Loads!$B$153:$B$212,Loads!$C$141),0)</f>
        <v/>
      </c>
      <c r="I141" s="3">
        <f>IF(Loads!$E$141=1,IFERROR(INDEX(Loads!$W$153:$W$212,MATCH(Loads!$C$141,Loads!$Z$153:$Z$212,0))&amp;"",""),"")</f>
        <v/>
      </c>
      <c r="J141" s="3">
        <f>IF(AND(Loads!$F$141&gt;0,Loads!$I$141&lt;&gt;"",Inputs!$L$306&lt;&gt;""),MAX(0,Inputs!$L$306-Loads!$H$141),0)</f>
        <v/>
      </c>
      <c r="K141" s="3">
        <f>Loads!$J$141*Loads!$F$141/1000</f>
        <v/>
      </c>
      <c r="L141" s="3">
        <f>IF(AND(Loads!$A$141=1,Loads!$D$141=0,Loads!$G$141&gt;0,Inputs!$G$306&gt;0),Inputs!$G$306+0,0)</f>
        <v/>
      </c>
    </row>
    <row r="142">
      <c r="A142" s="3">
        <f>Inputs!$A$307</f>
        <v/>
      </c>
      <c r="B142" s="3">
        <f>IF(Loads!$A$142=1,Inputs!$B$307&amp;"","")</f>
        <v/>
      </c>
      <c r="C142" s="3">
        <f>IF(Loads!$A$142=1,Inputs!$C$307&amp;"","")</f>
        <v/>
      </c>
      <c r="D142" s="3">
        <f>IF(AND(Loads!$A$142=1,Loads!$B$142&lt;&gt;"",Loads!$B$142=Inputs!$B$26),1,0)</f>
        <v/>
      </c>
      <c r="E142" s="3">
        <f>IF(AND(Loads!$A$142=1,Loads!$C$142&lt;&gt;""),IF(COUNTIFS(Loads!$C$125:$C$132,Loads!$C$142)&gt;0,1,0),0)</f>
        <v/>
      </c>
      <c r="F142" s="3">
        <f>IF(AND(Loads!$E$142=1,Inputs!$K$307&gt;1E-9),Inputs!$K$307+0,0)</f>
        <v/>
      </c>
      <c r="G142" s="3">
        <f>IF(AND(Loads!$A$142=1,Inputs!$D$307&lt;&gt;""),IFERROR(MATCH(Inputs!$D$307&amp;"",Geometry!$B$58:$B$137,0),0),0)</f>
        <v/>
      </c>
      <c r="H142" s="3">
        <f>IF(Loads!$E$142=1,SUMIFS(Loads!$T$153:$T$212,Loads!$B$153:$B$212,Loads!$C$142),0)</f>
        <v/>
      </c>
      <c r="I142" s="3">
        <f>IF(Loads!$E$142=1,IFERROR(INDEX(Loads!$W$153:$W$212,MATCH(Loads!$C$142,Loads!$Z$153:$Z$212,0))&amp;"",""),"")</f>
        <v/>
      </c>
      <c r="J142" s="3">
        <f>IF(AND(Loads!$F$142&gt;0,Loads!$I$142&lt;&gt;"",Inputs!$L$307&lt;&gt;""),MAX(0,Inputs!$L$307-Loads!$H$142),0)</f>
        <v/>
      </c>
      <c r="K142" s="3">
        <f>Loads!$J$142*Loads!$F$142/1000</f>
        <v/>
      </c>
      <c r="L142" s="3">
        <f>IF(AND(Loads!$A$142=1,Loads!$D$142=0,Loads!$G$142&gt;0,Inputs!$G$307&gt;0),Inputs!$G$307+0,0)</f>
        <v/>
      </c>
    </row>
    <row r="143">
      <c r="A143" s="3">
        <f>Inputs!$A$308</f>
        <v/>
      </c>
      <c r="B143" s="3">
        <f>IF(Loads!$A$143=1,Inputs!$B$308&amp;"","")</f>
        <v/>
      </c>
      <c r="C143" s="3">
        <f>IF(Loads!$A$143=1,Inputs!$C$308&amp;"","")</f>
        <v/>
      </c>
      <c r="D143" s="3">
        <f>IF(AND(Loads!$A$143=1,Loads!$B$143&lt;&gt;"",Loads!$B$143=Inputs!$B$26),1,0)</f>
        <v/>
      </c>
      <c r="E143" s="3">
        <f>IF(AND(Loads!$A$143=1,Loads!$C$143&lt;&gt;""),IF(COUNTIFS(Loads!$C$125:$C$132,Loads!$C$143)&gt;0,1,0),0)</f>
        <v/>
      </c>
      <c r="F143" s="3">
        <f>IF(AND(Loads!$E$143=1,Inputs!$K$308&gt;1E-9),Inputs!$K$308+0,0)</f>
        <v/>
      </c>
      <c r="G143" s="3">
        <f>IF(AND(Loads!$A$143=1,Inputs!$D$308&lt;&gt;""),IFERROR(MATCH(Inputs!$D$308&amp;"",Geometry!$B$58:$B$137,0),0),0)</f>
        <v/>
      </c>
      <c r="H143" s="3">
        <f>IF(Loads!$E$143=1,SUMIFS(Loads!$T$153:$T$212,Loads!$B$153:$B$212,Loads!$C$143),0)</f>
        <v/>
      </c>
      <c r="I143" s="3">
        <f>IF(Loads!$E$143=1,IFERROR(INDEX(Loads!$W$153:$W$212,MATCH(Loads!$C$143,Loads!$Z$153:$Z$212,0))&amp;"",""),"")</f>
        <v/>
      </c>
      <c r="J143" s="3">
        <f>IF(AND(Loads!$F$143&gt;0,Loads!$I$143&lt;&gt;"",Inputs!$L$308&lt;&gt;""),MAX(0,Inputs!$L$308-Loads!$H$143),0)</f>
        <v/>
      </c>
      <c r="K143" s="3">
        <f>Loads!$J$143*Loads!$F$143/1000</f>
        <v/>
      </c>
      <c r="L143" s="3">
        <f>IF(AND(Loads!$A$143=1,Loads!$D$143=0,Loads!$G$143&gt;0,Inputs!$G$308&gt;0),Inputs!$G$308+0,0)</f>
        <v/>
      </c>
    </row>
    <row r="144">
      <c r="A144" s="3">
        <f>Inputs!$A$309</f>
        <v/>
      </c>
      <c r="B144" s="3">
        <f>IF(Loads!$A$144=1,Inputs!$B$309&amp;"","")</f>
        <v/>
      </c>
      <c r="C144" s="3">
        <f>IF(Loads!$A$144=1,Inputs!$C$309&amp;"","")</f>
        <v/>
      </c>
      <c r="D144" s="3">
        <f>IF(AND(Loads!$A$144=1,Loads!$B$144&lt;&gt;"",Loads!$B$144=Inputs!$B$26),1,0)</f>
        <v/>
      </c>
      <c r="E144" s="3">
        <f>IF(AND(Loads!$A$144=1,Loads!$C$144&lt;&gt;""),IF(COUNTIFS(Loads!$C$125:$C$132,Loads!$C$144)&gt;0,1,0),0)</f>
        <v/>
      </c>
      <c r="F144" s="3">
        <f>IF(AND(Loads!$E$144=1,Inputs!$K$309&gt;1E-9),Inputs!$K$309+0,0)</f>
        <v/>
      </c>
      <c r="G144" s="3">
        <f>IF(AND(Loads!$A$144=1,Inputs!$D$309&lt;&gt;""),IFERROR(MATCH(Inputs!$D$309&amp;"",Geometry!$B$58:$B$137,0),0),0)</f>
        <v/>
      </c>
      <c r="H144" s="3">
        <f>IF(Loads!$E$144=1,SUMIFS(Loads!$T$153:$T$212,Loads!$B$153:$B$212,Loads!$C$144),0)</f>
        <v/>
      </c>
      <c r="I144" s="3">
        <f>IF(Loads!$E$144=1,IFERROR(INDEX(Loads!$W$153:$W$212,MATCH(Loads!$C$144,Loads!$Z$153:$Z$212,0))&amp;"",""),"")</f>
        <v/>
      </c>
      <c r="J144" s="3">
        <f>IF(AND(Loads!$F$144&gt;0,Loads!$I$144&lt;&gt;"",Inputs!$L$309&lt;&gt;""),MAX(0,Inputs!$L$309-Loads!$H$144),0)</f>
        <v/>
      </c>
      <c r="K144" s="3">
        <f>Loads!$J$144*Loads!$F$144/1000</f>
        <v/>
      </c>
      <c r="L144" s="3">
        <f>IF(AND(Loads!$A$144=1,Loads!$D$144=0,Loads!$G$144&gt;0,Inputs!$G$309&gt;0),Inputs!$G$309+0,0)</f>
        <v/>
      </c>
    </row>
    <row r="145">
      <c r="A145" s="3">
        <f>Inputs!$A$310</f>
        <v/>
      </c>
      <c r="B145" s="3">
        <f>IF(Loads!$A$145=1,Inputs!$B$310&amp;"","")</f>
        <v/>
      </c>
      <c r="C145" s="3">
        <f>IF(Loads!$A$145=1,Inputs!$C$310&amp;"","")</f>
        <v/>
      </c>
      <c r="D145" s="3">
        <f>IF(AND(Loads!$A$145=1,Loads!$B$145&lt;&gt;"",Loads!$B$145=Inputs!$B$26),1,0)</f>
        <v/>
      </c>
      <c r="E145" s="3">
        <f>IF(AND(Loads!$A$145=1,Loads!$C$145&lt;&gt;""),IF(COUNTIFS(Loads!$C$125:$C$132,Loads!$C$145)&gt;0,1,0),0)</f>
        <v/>
      </c>
      <c r="F145" s="3">
        <f>IF(AND(Loads!$E$145=1,Inputs!$K$310&gt;1E-9),Inputs!$K$310+0,0)</f>
        <v/>
      </c>
      <c r="G145" s="3">
        <f>IF(AND(Loads!$A$145=1,Inputs!$D$310&lt;&gt;""),IFERROR(MATCH(Inputs!$D$310&amp;"",Geometry!$B$58:$B$137,0),0),0)</f>
        <v/>
      </c>
      <c r="H145" s="3">
        <f>IF(Loads!$E$145=1,SUMIFS(Loads!$T$153:$T$212,Loads!$B$153:$B$212,Loads!$C$145),0)</f>
        <v/>
      </c>
      <c r="I145" s="3">
        <f>IF(Loads!$E$145=1,IFERROR(INDEX(Loads!$W$153:$W$212,MATCH(Loads!$C$145,Loads!$Z$153:$Z$212,0))&amp;"",""),"")</f>
        <v/>
      </c>
      <c r="J145" s="3">
        <f>IF(AND(Loads!$F$145&gt;0,Loads!$I$145&lt;&gt;"",Inputs!$L$310&lt;&gt;""),MAX(0,Inputs!$L$310-Loads!$H$145),0)</f>
        <v/>
      </c>
      <c r="K145" s="3">
        <f>Loads!$J$145*Loads!$F$145/1000</f>
        <v/>
      </c>
      <c r="L145" s="3">
        <f>IF(AND(Loads!$A$145=1,Loads!$D$145=0,Loads!$G$145&gt;0,Inputs!$G$310&gt;0),Inputs!$G$310+0,0)</f>
        <v/>
      </c>
    </row>
    <row r="146">
      <c r="A146" s="3">
        <f>Inputs!$A$311</f>
        <v/>
      </c>
      <c r="B146" s="3">
        <f>IF(Loads!$A$146=1,Inputs!$B$311&amp;"","")</f>
        <v/>
      </c>
      <c r="C146" s="3">
        <f>IF(Loads!$A$146=1,Inputs!$C$311&amp;"","")</f>
        <v/>
      </c>
      <c r="D146" s="3">
        <f>IF(AND(Loads!$A$146=1,Loads!$B$146&lt;&gt;"",Loads!$B$146=Inputs!$B$26),1,0)</f>
        <v/>
      </c>
      <c r="E146" s="3">
        <f>IF(AND(Loads!$A$146=1,Loads!$C$146&lt;&gt;""),IF(COUNTIFS(Loads!$C$125:$C$132,Loads!$C$146)&gt;0,1,0),0)</f>
        <v/>
      </c>
      <c r="F146" s="3">
        <f>IF(AND(Loads!$E$146=1,Inputs!$K$311&gt;1E-9),Inputs!$K$311+0,0)</f>
        <v/>
      </c>
      <c r="G146" s="3">
        <f>IF(AND(Loads!$A$146=1,Inputs!$D$311&lt;&gt;""),IFERROR(MATCH(Inputs!$D$311&amp;"",Geometry!$B$58:$B$137,0),0),0)</f>
        <v/>
      </c>
      <c r="H146" s="3">
        <f>IF(Loads!$E$146=1,SUMIFS(Loads!$T$153:$T$212,Loads!$B$153:$B$212,Loads!$C$146),0)</f>
        <v/>
      </c>
      <c r="I146" s="3">
        <f>IF(Loads!$E$146=1,IFERROR(INDEX(Loads!$W$153:$W$212,MATCH(Loads!$C$146,Loads!$Z$153:$Z$212,0))&amp;"",""),"")</f>
        <v/>
      </c>
      <c r="J146" s="3">
        <f>IF(AND(Loads!$F$146&gt;0,Loads!$I$146&lt;&gt;"",Inputs!$L$311&lt;&gt;""),MAX(0,Inputs!$L$311-Loads!$H$146),0)</f>
        <v/>
      </c>
      <c r="K146" s="3">
        <f>Loads!$J$146*Loads!$F$146/1000</f>
        <v/>
      </c>
      <c r="L146" s="3">
        <f>IF(AND(Loads!$A$146=1,Loads!$D$146=0,Loads!$G$146&gt;0,Inputs!$G$311&gt;0),Inputs!$G$311+0,0)</f>
        <v/>
      </c>
    </row>
    <row r="150">
      <c r="A150" s="6" t="inlineStr">
        <is>
          <t>Rope segments (row i = Inputs segments row i)</t>
        </is>
      </c>
    </row>
    <row r="151">
      <c r="A151" s="8" t="inlineStr">
        <is>
          <t>Active [1/0]</t>
        </is>
      </c>
      <c r="B151" s="8" t="inlineStr">
        <is>
          <t>Rope id</t>
        </is>
      </c>
      <c r="C151" s="8" t="inlineStr">
        <is>
          <t>Rope role</t>
        </is>
      </c>
      <c r="D151" s="8" t="inlineStr">
        <is>
          <t>Row of the from node [row]</t>
        </is>
      </c>
      <c r="E151" s="8" t="inlineStr">
        <is>
          <t>Row of the to node [row]</t>
        </is>
      </c>
      <c r="F151" s="8" t="inlineStr">
        <is>
          <t>Segment used [1/0]</t>
        </is>
      </c>
      <c r="G151" s="8" t="inlineStr">
        <is>
          <t>From x [m]</t>
        </is>
      </c>
      <c r="H151" s="8" t="inlineStr">
        <is>
          <t>From z [m]</t>
        </is>
      </c>
      <c r="I151" s="8" t="inlineStr">
        <is>
          <t>To x [m]</t>
        </is>
      </c>
      <c r="J151" s="8" t="inlineStr">
        <is>
          <t>To z [m]</t>
        </is>
      </c>
      <c r="K151" s="8" t="inlineStr">
        <is>
          <t>Length [m]</t>
        </is>
      </c>
      <c r="L151" s="8" t="inlineStr">
        <is>
          <t>Unit vector x (from -&gt; to)</t>
        </is>
      </c>
      <c r="M151" s="8" t="inlineStr">
        <is>
          <t>Unit vector z (from -&gt; to)</t>
        </is>
      </c>
      <c r="N151" s="8" t="inlineStr">
        <is>
          <t>Parts (multiplier)</t>
        </is>
      </c>
      <c r="O151" s="8" t="inlineStr">
        <is>
          <t>Rope tension [kN]</t>
        </is>
      </c>
      <c r="P151" s="8" t="inlineStr">
        <is>
          <t>Force on from node Fx = T ux parts [kN]</t>
        </is>
      </c>
      <c r="Q151" s="8" t="inlineStr">
        <is>
          <t>Force on from node Fz = T uz parts [kN]</t>
        </is>
      </c>
      <c r="R151" s="8" t="inlineStr">
        <is>
          <t>Solve rope: ux parts [kN/kN]</t>
        </is>
      </c>
      <c r="S151" s="8" t="inlineStr">
        <is>
          <t>Solve rope: uz parts [kN/kN]</t>
        </is>
      </c>
      <c r="T151" s="8" t="inlineStr">
        <is>
          <t>Reeved length = length x max(1, parts) [m]</t>
        </is>
      </c>
      <c r="U151" s="8" t="inlineStr">
        <is>
          <t>Linear mass (its hoists) [kg/m]</t>
        </is>
      </c>
      <c r="V151" s="8" t="inlineStr">
        <is>
          <t>Half the segment's rope mass (each end) [t]</t>
        </is>
      </c>
      <c r="W151" s="8" t="inlineStr">
        <is>
          <t>Flagged spool node at an end</t>
        </is>
      </c>
      <c r="X151" s="8" t="inlineStr">
        <is>
          <t>Has a spool end [1/0]</t>
        </is>
      </c>
      <c r="Y151" s="8" t="inlineStr">
        <is>
          <t>Spool ends so far on this rope</t>
        </is>
      </c>
      <c r="Z151" s="8" t="inlineStr">
        <is>
          <t>Rope id if first spool end</t>
        </is>
      </c>
    </row>
    <row r="152">
      <c r="A152" s="7" t="inlineStr">
        <is>
          <t>active (from Inputs)</t>
        </is>
      </c>
      <c r="B152" s="7" t="inlineStr">
        <is>
          <t>rope_id</t>
        </is>
      </c>
      <c r="C152" s="7" t="inlineStr">
        <is>
          <t>role ('' if the rope is missing)</t>
        </is>
      </c>
      <c r="D152" s="7" t="inlineStr">
        <is>
          <t>from_row (0 = missing)</t>
        </is>
      </c>
      <c r="E152" s="7" t="inlineStr">
        <is>
          <t>to_row (0 = missing)</t>
        </is>
      </c>
      <c r="F152" s="7" t="inlineStr">
        <is>
          <t>ok (active, both nodes and rope found)</t>
        </is>
      </c>
      <c r="G152" s="7" t="inlineStr">
        <is>
          <t>xa_m</t>
        </is>
      </c>
      <c r="H152" s="7" t="inlineStr">
        <is>
          <t>za_m</t>
        </is>
      </c>
      <c r="I152" s="7" t="inlineStr">
        <is>
          <t>xb_m</t>
        </is>
      </c>
      <c r="J152" s="7" t="inlineStr">
        <is>
          <t>zb_m</t>
        </is>
      </c>
      <c r="K152" s="7" t="inlineStr">
        <is>
          <t>length_m</t>
        </is>
      </c>
      <c r="L152" s="7" t="inlineStr">
        <is>
          <t>ux (0 if length &lt; 1e-9)</t>
        </is>
      </c>
      <c r="M152" s="7" t="inlineStr">
        <is>
          <t>uz</t>
        </is>
      </c>
      <c r="N152" s="7" t="inlineStr">
        <is>
          <t>mult</t>
        </is>
      </c>
      <c r="O152" s="7" t="inlineStr">
        <is>
          <t>tension_kN (fixed ropes)</t>
        </is>
      </c>
      <c r="P152" s="7" t="inlineStr">
        <is>
          <t>fx (to node gets -Fx)</t>
        </is>
      </c>
      <c r="Q152" s="7" t="inlineStr">
        <is>
          <t>fz (to node gets -Fz)</t>
        </is>
      </c>
      <c r="R152" s="7" t="inlineStr">
        <is>
          <t>bh_fx (per kN of solved tension)</t>
        </is>
      </c>
      <c r="S152" s="7" t="inlineStr">
        <is>
          <t>bh_fz</t>
        </is>
      </c>
      <c r="T152" s="7" t="inlineStr">
        <is>
          <t>reeved_m</t>
        </is>
      </c>
      <c r="U152" s="7" t="inlineStr">
        <is>
          <t>linear_mass_kg_m</t>
        </is>
      </c>
      <c r="V152" s="7" t="inlineStr">
        <is>
          <t>half_mass_t</t>
        </is>
      </c>
      <c r="W152" s="7" t="inlineStr">
        <is>
          <t>spool_end</t>
        </is>
      </c>
      <c r="X152" s="7" t="inlineStr">
        <is>
          <t>has_spool</t>
        </is>
      </c>
      <c r="Y152" s="7" t="inlineStr">
        <is>
          <t>spool_seq (1 = first)</t>
        </is>
      </c>
      <c r="Z152" s="7" t="inlineStr">
        <is>
          <t>spool_key</t>
        </is>
      </c>
    </row>
    <row r="153">
      <c r="A153" s="3">
        <f>Inputs!$A$224</f>
        <v/>
      </c>
      <c r="B153" s="3">
        <f>IF(Loads!$A$153=1,Inputs!$B$224&amp;"","")</f>
        <v/>
      </c>
      <c r="C153" s="3">
        <f>IF(AND(Loads!$A$153=1,Loads!$B$153&lt;&gt;""),IFERROR(INDEX(Loads!$D$125:$D$132,MATCH(Loads!$B$153,Loads!$C$125:$C$132,0))&amp;"",""),"")</f>
        <v/>
      </c>
      <c r="D153" s="3">
        <f>IF(AND(Loads!$A$153=1,Inputs!$C$224&lt;&gt;""),IFERROR(MATCH(Inputs!$C$224&amp;"",Geometry!$B$58:$B$137,0),0),0)</f>
        <v/>
      </c>
      <c r="E153" s="3">
        <f>IF(AND(Loads!$A$153=1,Inputs!$D$224&lt;&gt;""),IFERROR(MATCH(Inputs!$D$224&amp;"",Geometry!$B$58:$B$137,0),0),0)</f>
        <v/>
      </c>
      <c r="F153" s="3">
        <f>IF(AND(Loads!$A$153=1,Loads!$C$153&lt;&gt;"",Loads!$D$153&gt;0,Loads!$E$153&gt;0),1,0)</f>
        <v/>
      </c>
      <c r="G153" s="3">
        <f>IF(Loads!$F$153=1,INDEX(Geometry!$K$58:$K$137,Loads!$D$153),0)</f>
        <v/>
      </c>
      <c r="H153" s="3">
        <f>IF(Loads!$F$153=1,INDEX(Geometry!$L$58:$L$137,Loads!$D$153),0)</f>
        <v/>
      </c>
      <c r="I153" s="3">
        <f>IF(Loads!$F$153=1,INDEX(Geometry!$K$58:$K$137,Loads!$E$153),0)</f>
        <v/>
      </c>
      <c r="J153" s="3">
        <f>IF(Loads!$F$153=1,INDEX(Geometry!$L$58:$L$137,Loads!$E$153),0)</f>
        <v/>
      </c>
      <c r="K153" s="3">
        <f>SQRT((Loads!$I$153-Loads!$G$153)^2+(Loads!$J$153-Loads!$H$153)^2)</f>
        <v/>
      </c>
      <c r="L153" s="3">
        <f>IF(Loads!$K$153&lt;1E-9,0,(Loads!$I$153-Loads!$G$153)/Loads!$K$153)</f>
        <v/>
      </c>
      <c r="M153" s="3">
        <f>IF(Loads!$K$153&lt;1E-9,0,(Loads!$J$153-Loads!$H$153)/Loads!$K$153)</f>
        <v/>
      </c>
      <c r="N153" s="3">
        <f>IF(Loads!$F$153=1,Inputs!$E$224+0,0)</f>
        <v/>
      </c>
      <c r="O153" s="3">
        <f>IF(AND(Loads!$F$153=1,Loads!$C$153="fixed"),INDEX(Loads!$K$125:$K$132,MATCH(Loads!$B$153,Loads!$C$125:$C$132,0)),0)</f>
        <v/>
      </c>
      <c r="P153" s="3">
        <f>Loads!$O$153*Loads!$L$153*Loads!$N$153</f>
        <v/>
      </c>
      <c r="Q153" s="3">
        <f>Loads!$O$153*Loads!$M$153*Loads!$N$153</f>
        <v/>
      </c>
      <c r="R153" s="3">
        <f>IF(Loads!$C$153="solve",Loads!$L$153*Loads!$N$153,0)</f>
        <v/>
      </c>
      <c r="S153" s="3">
        <f>IF(Loads!$C$153="solve",Loads!$M$153*Loads!$N$153,0)</f>
        <v/>
      </c>
      <c r="T153" s="3">
        <f>IF(Loads!$F$153=1,Loads!$K$153*MAX(1,INT(Loads!$N$153)),0)</f>
        <v/>
      </c>
      <c r="U153" s="3">
        <f>IF(Loads!$F$153=1,SUMIFS(Loads!$F$139:$F$146,Loads!$C$139:$C$146,Loads!$B$153),0)</f>
        <v/>
      </c>
      <c r="V153" s="3">
        <f>Loads!$T$153*Loads!$U$153/2000</f>
        <v/>
      </c>
      <c r="W153" s="3">
        <f>IF(Loads!$F$153=1,IF(INDEX(Inputs!$K$138:$K$217,Loads!$D$153)=1,Inputs!$C$224&amp;"",IF(INDEX(Inputs!$K$138:$K$217,Loads!$E$153)=1,Inputs!$D$224&amp;"","")),"")</f>
        <v/>
      </c>
      <c r="X153" s="3">
        <f>IF(Loads!$W$153&lt;&gt;"",1,0)</f>
        <v/>
      </c>
      <c r="Y153" s="3">
        <f>IF(Loads!$X$153=1,SUMIFS(Loads!$X$153:X153,Loads!$B$153:B153,Loads!$B$153),0)</f>
        <v/>
      </c>
      <c r="Z153" s="3">
        <f>IF(AND(Loads!$X$153=1,Loads!$Y$153=1),Loads!$B$153,"")</f>
        <v/>
      </c>
    </row>
    <row r="154">
      <c r="A154" s="3">
        <f>Inputs!$A$225</f>
        <v/>
      </c>
      <c r="B154" s="3">
        <f>IF(Loads!$A$154=1,Inputs!$B$225&amp;"","")</f>
        <v/>
      </c>
      <c r="C154" s="3">
        <f>IF(AND(Loads!$A$154=1,Loads!$B$154&lt;&gt;""),IFERROR(INDEX(Loads!$D$125:$D$132,MATCH(Loads!$B$154,Loads!$C$125:$C$132,0))&amp;"",""),"")</f>
        <v/>
      </c>
      <c r="D154" s="3">
        <f>IF(AND(Loads!$A$154=1,Inputs!$C$225&lt;&gt;""),IFERROR(MATCH(Inputs!$C$225&amp;"",Geometry!$B$58:$B$137,0),0),0)</f>
        <v/>
      </c>
      <c r="E154" s="3">
        <f>IF(AND(Loads!$A$154=1,Inputs!$D$225&lt;&gt;""),IFERROR(MATCH(Inputs!$D$225&amp;"",Geometry!$B$58:$B$137,0),0),0)</f>
        <v/>
      </c>
      <c r="F154" s="3">
        <f>IF(AND(Loads!$A$154=1,Loads!$C$154&lt;&gt;"",Loads!$D$154&gt;0,Loads!$E$154&gt;0),1,0)</f>
        <v/>
      </c>
      <c r="G154" s="3">
        <f>IF(Loads!$F$154=1,INDEX(Geometry!$K$58:$K$137,Loads!$D$154),0)</f>
        <v/>
      </c>
      <c r="H154" s="3">
        <f>IF(Loads!$F$154=1,INDEX(Geometry!$L$58:$L$137,Loads!$D$154),0)</f>
        <v/>
      </c>
      <c r="I154" s="3">
        <f>IF(Loads!$F$154=1,INDEX(Geometry!$K$58:$K$137,Loads!$E$154),0)</f>
        <v/>
      </c>
      <c r="J154" s="3">
        <f>IF(Loads!$F$154=1,INDEX(Geometry!$L$58:$L$137,Loads!$E$154),0)</f>
        <v/>
      </c>
      <c r="K154" s="3">
        <f>SQRT((Loads!$I$154-Loads!$G$154)^2+(Loads!$J$154-Loads!$H$154)^2)</f>
        <v/>
      </c>
      <c r="L154" s="3">
        <f>IF(Loads!$K$154&lt;1E-9,0,(Loads!$I$154-Loads!$G$154)/Loads!$K$154)</f>
        <v/>
      </c>
      <c r="M154" s="3">
        <f>IF(Loads!$K$154&lt;1E-9,0,(Loads!$J$154-Loads!$H$154)/Loads!$K$154)</f>
        <v/>
      </c>
      <c r="N154" s="3">
        <f>IF(Loads!$F$154=1,Inputs!$E$225+0,0)</f>
        <v/>
      </c>
      <c r="O154" s="3">
        <f>IF(AND(Loads!$F$154=1,Loads!$C$154="fixed"),INDEX(Loads!$K$125:$K$132,MATCH(Loads!$B$154,Loads!$C$125:$C$132,0)),0)</f>
        <v/>
      </c>
      <c r="P154" s="3">
        <f>Loads!$O$154*Loads!$L$154*Loads!$N$154</f>
        <v/>
      </c>
      <c r="Q154" s="3">
        <f>Loads!$O$154*Loads!$M$154*Loads!$N$154</f>
        <v/>
      </c>
      <c r="R154" s="3">
        <f>IF(Loads!$C$154="solve",Loads!$L$154*Loads!$N$154,0)</f>
        <v/>
      </c>
      <c r="S154" s="3">
        <f>IF(Loads!$C$154="solve",Loads!$M$154*Loads!$N$154,0)</f>
        <v/>
      </c>
      <c r="T154" s="3">
        <f>IF(Loads!$F$154=1,Loads!$K$154*MAX(1,INT(Loads!$N$154)),0)</f>
        <v/>
      </c>
      <c r="U154" s="3">
        <f>IF(Loads!$F$154=1,SUMIFS(Loads!$F$139:$F$146,Loads!$C$139:$C$146,Loads!$B$154),0)</f>
        <v/>
      </c>
      <c r="V154" s="3">
        <f>Loads!$T$154*Loads!$U$154/2000</f>
        <v/>
      </c>
      <c r="W154" s="3">
        <f>IF(Loads!$F$154=1,IF(INDEX(Inputs!$K$138:$K$217,Loads!$D$154)=1,Inputs!$C$225&amp;"",IF(INDEX(Inputs!$K$138:$K$217,Loads!$E$154)=1,Inputs!$D$225&amp;"","")),"")</f>
        <v/>
      </c>
      <c r="X154" s="3">
        <f>IF(Loads!$W$154&lt;&gt;"",1,0)</f>
        <v/>
      </c>
      <c r="Y154" s="3">
        <f>IF(Loads!$X$154=1,SUMIFS(Loads!$X$153:X154,Loads!$B$153:B154,Loads!$B$154),0)</f>
        <v/>
      </c>
      <c r="Z154" s="3">
        <f>IF(AND(Loads!$X$154=1,Loads!$Y$154=1),Loads!$B$154,"")</f>
        <v/>
      </c>
    </row>
    <row r="155">
      <c r="A155" s="3">
        <f>Inputs!$A$226</f>
        <v/>
      </c>
      <c r="B155" s="3">
        <f>IF(Loads!$A$155=1,Inputs!$B$226&amp;"","")</f>
        <v/>
      </c>
      <c r="C155" s="3">
        <f>IF(AND(Loads!$A$155=1,Loads!$B$155&lt;&gt;""),IFERROR(INDEX(Loads!$D$125:$D$132,MATCH(Loads!$B$155,Loads!$C$125:$C$132,0))&amp;"",""),"")</f>
        <v/>
      </c>
      <c r="D155" s="3">
        <f>IF(AND(Loads!$A$155=1,Inputs!$C$226&lt;&gt;""),IFERROR(MATCH(Inputs!$C$226&amp;"",Geometry!$B$58:$B$137,0),0),0)</f>
        <v/>
      </c>
      <c r="E155" s="3">
        <f>IF(AND(Loads!$A$155=1,Inputs!$D$226&lt;&gt;""),IFERROR(MATCH(Inputs!$D$226&amp;"",Geometry!$B$58:$B$137,0),0),0)</f>
        <v/>
      </c>
      <c r="F155" s="3">
        <f>IF(AND(Loads!$A$155=1,Loads!$C$155&lt;&gt;"",Loads!$D$155&gt;0,Loads!$E$155&gt;0),1,0)</f>
        <v/>
      </c>
      <c r="G155" s="3">
        <f>IF(Loads!$F$155=1,INDEX(Geometry!$K$58:$K$137,Loads!$D$155),0)</f>
        <v/>
      </c>
      <c r="H155" s="3">
        <f>IF(Loads!$F$155=1,INDEX(Geometry!$L$58:$L$137,Loads!$D$155),0)</f>
        <v/>
      </c>
      <c r="I155" s="3">
        <f>IF(Loads!$F$155=1,INDEX(Geometry!$K$58:$K$137,Loads!$E$155),0)</f>
        <v/>
      </c>
      <c r="J155" s="3">
        <f>IF(Loads!$F$155=1,INDEX(Geometry!$L$58:$L$137,Loads!$E$155),0)</f>
        <v/>
      </c>
      <c r="K155" s="3">
        <f>SQRT((Loads!$I$155-Loads!$G$155)^2+(Loads!$J$155-Loads!$H$155)^2)</f>
        <v/>
      </c>
      <c r="L155" s="3">
        <f>IF(Loads!$K$155&lt;1E-9,0,(Loads!$I$155-Loads!$G$155)/Loads!$K$155)</f>
        <v/>
      </c>
      <c r="M155" s="3">
        <f>IF(Loads!$K$155&lt;1E-9,0,(Loads!$J$155-Loads!$H$155)/Loads!$K$155)</f>
        <v/>
      </c>
      <c r="N155" s="3">
        <f>IF(Loads!$F$155=1,Inputs!$E$226+0,0)</f>
        <v/>
      </c>
      <c r="O155" s="3">
        <f>IF(AND(Loads!$F$155=1,Loads!$C$155="fixed"),INDEX(Loads!$K$125:$K$132,MATCH(Loads!$B$155,Loads!$C$125:$C$132,0)),0)</f>
        <v/>
      </c>
      <c r="P155" s="3">
        <f>Loads!$O$155*Loads!$L$155*Loads!$N$155</f>
        <v/>
      </c>
      <c r="Q155" s="3">
        <f>Loads!$O$155*Loads!$M$155*Loads!$N$155</f>
        <v/>
      </c>
      <c r="R155" s="3">
        <f>IF(Loads!$C$155="solve",Loads!$L$155*Loads!$N$155,0)</f>
        <v/>
      </c>
      <c r="S155" s="3">
        <f>IF(Loads!$C$155="solve",Loads!$M$155*Loads!$N$155,0)</f>
        <v/>
      </c>
      <c r="T155" s="3">
        <f>IF(Loads!$F$155=1,Loads!$K$155*MAX(1,INT(Loads!$N$155)),0)</f>
        <v/>
      </c>
      <c r="U155" s="3">
        <f>IF(Loads!$F$155=1,SUMIFS(Loads!$F$139:$F$146,Loads!$C$139:$C$146,Loads!$B$155),0)</f>
        <v/>
      </c>
      <c r="V155" s="3">
        <f>Loads!$T$155*Loads!$U$155/2000</f>
        <v/>
      </c>
      <c r="W155" s="3">
        <f>IF(Loads!$F$155=1,IF(INDEX(Inputs!$K$138:$K$217,Loads!$D$155)=1,Inputs!$C$226&amp;"",IF(INDEX(Inputs!$K$138:$K$217,Loads!$E$155)=1,Inputs!$D$226&amp;"","")),"")</f>
        <v/>
      </c>
      <c r="X155" s="3">
        <f>IF(Loads!$W$155&lt;&gt;"",1,0)</f>
        <v/>
      </c>
      <c r="Y155" s="3">
        <f>IF(Loads!$X$155=1,SUMIFS(Loads!$X$153:X155,Loads!$B$153:B155,Loads!$B$155),0)</f>
        <v/>
      </c>
      <c r="Z155" s="3">
        <f>IF(AND(Loads!$X$155=1,Loads!$Y$155=1),Loads!$B$155,"")</f>
        <v/>
      </c>
    </row>
    <row r="156">
      <c r="A156" s="3">
        <f>Inputs!$A$227</f>
        <v/>
      </c>
      <c r="B156" s="3">
        <f>IF(Loads!$A$156=1,Inputs!$B$227&amp;"","")</f>
        <v/>
      </c>
      <c r="C156" s="3">
        <f>IF(AND(Loads!$A$156=1,Loads!$B$156&lt;&gt;""),IFERROR(INDEX(Loads!$D$125:$D$132,MATCH(Loads!$B$156,Loads!$C$125:$C$132,0))&amp;"",""),"")</f>
        <v/>
      </c>
      <c r="D156" s="3">
        <f>IF(AND(Loads!$A$156=1,Inputs!$C$227&lt;&gt;""),IFERROR(MATCH(Inputs!$C$227&amp;"",Geometry!$B$58:$B$137,0),0),0)</f>
        <v/>
      </c>
      <c r="E156" s="3">
        <f>IF(AND(Loads!$A$156=1,Inputs!$D$227&lt;&gt;""),IFERROR(MATCH(Inputs!$D$227&amp;"",Geometry!$B$58:$B$137,0),0),0)</f>
        <v/>
      </c>
      <c r="F156" s="3">
        <f>IF(AND(Loads!$A$156=1,Loads!$C$156&lt;&gt;"",Loads!$D$156&gt;0,Loads!$E$156&gt;0),1,0)</f>
        <v/>
      </c>
      <c r="G156" s="3">
        <f>IF(Loads!$F$156=1,INDEX(Geometry!$K$58:$K$137,Loads!$D$156),0)</f>
        <v/>
      </c>
      <c r="H156" s="3">
        <f>IF(Loads!$F$156=1,INDEX(Geometry!$L$58:$L$137,Loads!$D$156),0)</f>
        <v/>
      </c>
      <c r="I156" s="3">
        <f>IF(Loads!$F$156=1,INDEX(Geometry!$K$58:$K$137,Loads!$E$156),0)</f>
        <v/>
      </c>
      <c r="J156" s="3">
        <f>IF(Loads!$F$156=1,INDEX(Geometry!$L$58:$L$137,Loads!$E$156),0)</f>
        <v/>
      </c>
      <c r="K156" s="3">
        <f>SQRT((Loads!$I$156-Loads!$G$156)^2+(Loads!$J$156-Loads!$H$156)^2)</f>
        <v/>
      </c>
      <c r="L156" s="3">
        <f>IF(Loads!$K$156&lt;1E-9,0,(Loads!$I$156-Loads!$G$156)/Loads!$K$156)</f>
        <v/>
      </c>
      <c r="M156" s="3">
        <f>IF(Loads!$K$156&lt;1E-9,0,(Loads!$J$156-Loads!$H$156)/Loads!$K$156)</f>
        <v/>
      </c>
      <c r="N156" s="3">
        <f>IF(Loads!$F$156=1,Inputs!$E$227+0,0)</f>
        <v/>
      </c>
      <c r="O156" s="3">
        <f>IF(AND(Loads!$F$156=1,Loads!$C$156="fixed"),INDEX(Loads!$K$125:$K$132,MATCH(Loads!$B$156,Loads!$C$125:$C$132,0)),0)</f>
        <v/>
      </c>
      <c r="P156" s="3">
        <f>Loads!$O$156*Loads!$L$156*Loads!$N$156</f>
        <v/>
      </c>
      <c r="Q156" s="3">
        <f>Loads!$O$156*Loads!$M$156*Loads!$N$156</f>
        <v/>
      </c>
      <c r="R156" s="3">
        <f>IF(Loads!$C$156="solve",Loads!$L$156*Loads!$N$156,0)</f>
        <v/>
      </c>
      <c r="S156" s="3">
        <f>IF(Loads!$C$156="solve",Loads!$M$156*Loads!$N$156,0)</f>
        <v/>
      </c>
      <c r="T156" s="3">
        <f>IF(Loads!$F$156=1,Loads!$K$156*MAX(1,INT(Loads!$N$156)),0)</f>
        <v/>
      </c>
      <c r="U156" s="3">
        <f>IF(Loads!$F$156=1,SUMIFS(Loads!$F$139:$F$146,Loads!$C$139:$C$146,Loads!$B$156),0)</f>
        <v/>
      </c>
      <c r="V156" s="3">
        <f>Loads!$T$156*Loads!$U$156/2000</f>
        <v/>
      </c>
      <c r="W156" s="3">
        <f>IF(Loads!$F$156=1,IF(INDEX(Inputs!$K$138:$K$217,Loads!$D$156)=1,Inputs!$C$227&amp;"",IF(INDEX(Inputs!$K$138:$K$217,Loads!$E$156)=1,Inputs!$D$227&amp;"","")),"")</f>
        <v/>
      </c>
      <c r="X156" s="3">
        <f>IF(Loads!$W$156&lt;&gt;"",1,0)</f>
        <v/>
      </c>
      <c r="Y156" s="3">
        <f>IF(Loads!$X$156=1,SUMIFS(Loads!$X$153:X156,Loads!$B$153:B156,Loads!$B$156),0)</f>
        <v/>
      </c>
      <c r="Z156" s="3">
        <f>IF(AND(Loads!$X$156=1,Loads!$Y$156=1),Loads!$B$156,"")</f>
        <v/>
      </c>
    </row>
    <row r="157">
      <c r="A157" s="3">
        <f>Inputs!$A$228</f>
        <v/>
      </c>
      <c r="B157" s="3">
        <f>IF(Loads!$A$157=1,Inputs!$B$228&amp;"","")</f>
        <v/>
      </c>
      <c r="C157" s="3">
        <f>IF(AND(Loads!$A$157=1,Loads!$B$157&lt;&gt;""),IFERROR(INDEX(Loads!$D$125:$D$132,MATCH(Loads!$B$157,Loads!$C$125:$C$132,0))&amp;"",""),"")</f>
        <v/>
      </c>
      <c r="D157" s="3">
        <f>IF(AND(Loads!$A$157=1,Inputs!$C$228&lt;&gt;""),IFERROR(MATCH(Inputs!$C$228&amp;"",Geometry!$B$58:$B$137,0),0),0)</f>
        <v/>
      </c>
      <c r="E157" s="3">
        <f>IF(AND(Loads!$A$157=1,Inputs!$D$228&lt;&gt;""),IFERROR(MATCH(Inputs!$D$228&amp;"",Geometry!$B$58:$B$137,0),0),0)</f>
        <v/>
      </c>
      <c r="F157" s="3">
        <f>IF(AND(Loads!$A$157=1,Loads!$C$157&lt;&gt;"",Loads!$D$157&gt;0,Loads!$E$157&gt;0),1,0)</f>
        <v/>
      </c>
      <c r="G157" s="3">
        <f>IF(Loads!$F$157=1,INDEX(Geometry!$K$58:$K$137,Loads!$D$157),0)</f>
        <v/>
      </c>
      <c r="H157" s="3">
        <f>IF(Loads!$F$157=1,INDEX(Geometry!$L$58:$L$137,Loads!$D$157),0)</f>
        <v/>
      </c>
      <c r="I157" s="3">
        <f>IF(Loads!$F$157=1,INDEX(Geometry!$K$58:$K$137,Loads!$E$157),0)</f>
        <v/>
      </c>
      <c r="J157" s="3">
        <f>IF(Loads!$F$157=1,INDEX(Geometry!$L$58:$L$137,Loads!$E$157),0)</f>
        <v/>
      </c>
      <c r="K157" s="3">
        <f>SQRT((Loads!$I$157-Loads!$G$157)^2+(Loads!$J$157-Loads!$H$157)^2)</f>
        <v/>
      </c>
      <c r="L157" s="3">
        <f>IF(Loads!$K$157&lt;1E-9,0,(Loads!$I$157-Loads!$G$157)/Loads!$K$157)</f>
        <v/>
      </c>
      <c r="M157" s="3">
        <f>IF(Loads!$K$157&lt;1E-9,0,(Loads!$J$157-Loads!$H$157)/Loads!$K$157)</f>
        <v/>
      </c>
      <c r="N157" s="3">
        <f>IF(Loads!$F$157=1,Inputs!$E$228+0,0)</f>
        <v/>
      </c>
      <c r="O157" s="3">
        <f>IF(AND(Loads!$F$157=1,Loads!$C$157="fixed"),INDEX(Loads!$K$125:$K$132,MATCH(Loads!$B$157,Loads!$C$125:$C$132,0)),0)</f>
        <v/>
      </c>
      <c r="P157" s="3">
        <f>Loads!$O$157*Loads!$L$157*Loads!$N$157</f>
        <v/>
      </c>
      <c r="Q157" s="3">
        <f>Loads!$O$157*Loads!$M$157*Loads!$N$157</f>
        <v/>
      </c>
      <c r="R157" s="3">
        <f>IF(Loads!$C$157="solve",Loads!$L$157*Loads!$N$157,0)</f>
        <v/>
      </c>
      <c r="S157" s="3">
        <f>IF(Loads!$C$157="solve",Loads!$M$157*Loads!$N$157,0)</f>
        <v/>
      </c>
      <c r="T157" s="3">
        <f>IF(Loads!$F$157=1,Loads!$K$157*MAX(1,INT(Loads!$N$157)),0)</f>
        <v/>
      </c>
      <c r="U157" s="3">
        <f>IF(Loads!$F$157=1,SUMIFS(Loads!$F$139:$F$146,Loads!$C$139:$C$146,Loads!$B$157),0)</f>
        <v/>
      </c>
      <c r="V157" s="3">
        <f>Loads!$T$157*Loads!$U$157/2000</f>
        <v/>
      </c>
      <c r="W157" s="3">
        <f>IF(Loads!$F$157=1,IF(INDEX(Inputs!$K$138:$K$217,Loads!$D$157)=1,Inputs!$C$228&amp;"",IF(INDEX(Inputs!$K$138:$K$217,Loads!$E$157)=1,Inputs!$D$228&amp;"","")),"")</f>
        <v/>
      </c>
      <c r="X157" s="3">
        <f>IF(Loads!$W$157&lt;&gt;"",1,0)</f>
        <v/>
      </c>
      <c r="Y157" s="3">
        <f>IF(Loads!$X$157=1,SUMIFS(Loads!$X$153:X157,Loads!$B$153:B157,Loads!$B$157),0)</f>
        <v/>
      </c>
      <c r="Z157" s="3">
        <f>IF(AND(Loads!$X$157=1,Loads!$Y$157=1),Loads!$B$157,"")</f>
        <v/>
      </c>
    </row>
    <row r="158">
      <c r="A158" s="3">
        <f>Inputs!$A$229</f>
        <v/>
      </c>
      <c r="B158" s="3">
        <f>IF(Loads!$A$158=1,Inputs!$B$229&amp;"","")</f>
        <v/>
      </c>
      <c r="C158" s="3">
        <f>IF(AND(Loads!$A$158=1,Loads!$B$158&lt;&gt;""),IFERROR(INDEX(Loads!$D$125:$D$132,MATCH(Loads!$B$158,Loads!$C$125:$C$132,0))&amp;"",""),"")</f>
        <v/>
      </c>
      <c r="D158" s="3">
        <f>IF(AND(Loads!$A$158=1,Inputs!$C$229&lt;&gt;""),IFERROR(MATCH(Inputs!$C$229&amp;"",Geometry!$B$58:$B$137,0),0),0)</f>
        <v/>
      </c>
      <c r="E158" s="3">
        <f>IF(AND(Loads!$A$158=1,Inputs!$D$229&lt;&gt;""),IFERROR(MATCH(Inputs!$D$229&amp;"",Geometry!$B$58:$B$137,0),0),0)</f>
        <v/>
      </c>
      <c r="F158" s="3">
        <f>IF(AND(Loads!$A$158=1,Loads!$C$158&lt;&gt;"",Loads!$D$158&gt;0,Loads!$E$158&gt;0),1,0)</f>
        <v/>
      </c>
      <c r="G158" s="3">
        <f>IF(Loads!$F$158=1,INDEX(Geometry!$K$58:$K$137,Loads!$D$158),0)</f>
        <v/>
      </c>
      <c r="H158" s="3">
        <f>IF(Loads!$F$158=1,INDEX(Geometry!$L$58:$L$137,Loads!$D$158),0)</f>
        <v/>
      </c>
      <c r="I158" s="3">
        <f>IF(Loads!$F$158=1,INDEX(Geometry!$K$58:$K$137,Loads!$E$158),0)</f>
        <v/>
      </c>
      <c r="J158" s="3">
        <f>IF(Loads!$F$158=1,INDEX(Geometry!$L$58:$L$137,Loads!$E$158),0)</f>
        <v/>
      </c>
      <c r="K158" s="3">
        <f>SQRT((Loads!$I$158-Loads!$G$158)^2+(Loads!$J$158-Loads!$H$158)^2)</f>
        <v/>
      </c>
      <c r="L158" s="3">
        <f>IF(Loads!$K$158&lt;1E-9,0,(Loads!$I$158-Loads!$G$158)/Loads!$K$158)</f>
        <v/>
      </c>
      <c r="M158" s="3">
        <f>IF(Loads!$K$158&lt;1E-9,0,(Loads!$J$158-Loads!$H$158)/Loads!$K$158)</f>
        <v/>
      </c>
      <c r="N158" s="3">
        <f>IF(Loads!$F$158=1,Inputs!$E$229+0,0)</f>
        <v/>
      </c>
      <c r="O158" s="3">
        <f>IF(AND(Loads!$F$158=1,Loads!$C$158="fixed"),INDEX(Loads!$K$125:$K$132,MATCH(Loads!$B$158,Loads!$C$125:$C$132,0)),0)</f>
        <v/>
      </c>
      <c r="P158" s="3">
        <f>Loads!$O$158*Loads!$L$158*Loads!$N$158</f>
        <v/>
      </c>
      <c r="Q158" s="3">
        <f>Loads!$O$158*Loads!$M$158*Loads!$N$158</f>
        <v/>
      </c>
      <c r="R158" s="3">
        <f>IF(Loads!$C$158="solve",Loads!$L$158*Loads!$N$158,0)</f>
        <v/>
      </c>
      <c r="S158" s="3">
        <f>IF(Loads!$C$158="solve",Loads!$M$158*Loads!$N$158,0)</f>
        <v/>
      </c>
      <c r="T158" s="3">
        <f>IF(Loads!$F$158=1,Loads!$K$158*MAX(1,INT(Loads!$N$158)),0)</f>
        <v/>
      </c>
      <c r="U158" s="3">
        <f>IF(Loads!$F$158=1,SUMIFS(Loads!$F$139:$F$146,Loads!$C$139:$C$146,Loads!$B$158),0)</f>
        <v/>
      </c>
      <c r="V158" s="3">
        <f>Loads!$T$158*Loads!$U$158/2000</f>
        <v/>
      </c>
      <c r="W158" s="3">
        <f>IF(Loads!$F$158=1,IF(INDEX(Inputs!$K$138:$K$217,Loads!$D$158)=1,Inputs!$C$229&amp;"",IF(INDEX(Inputs!$K$138:$K$217,Loads!$E$158)=1,Inputs!$D$229&amp;"","")),"")</f>
        <v/>
      </c>
      <c r="X158" s="3">
        <f>IF(Loads!$W$158&lt;&gt;"",1,0)</f>
        <v/>
      </c>
      <c r="Y158" s="3">
        <f>IF(Loads!$X$158=1,SUMIFS(Loads!$X$153:X158,Loads!$B$153:B158,Loads!$B$158),0)</f>
        <v/>
      </c>
      <c r="Z158" s="3">
        <f>IF(AND(Loads!$X$158=1,Loads!$Y$158=1),Loads!$B$158,"")</f>
        <v/>
      </c>
    </row>
    <row r="159">
      <c r="A159" s="3">
        <f>Inputs!$A$230</f>
        <v/>
      </c>
      <c r="B159" s="3">
        <f>IF(Loads!$A$159=1,Inputs!$B$230&amp;"","")</f>
        <v/>
      </c>
      <c r="C159" s="3">
        <f>IF(AND(Loads!$A$159=1,Loads!$B$159&lt;&gt;""),IFERROR(INDEX(Loads!$D$125:$D$132,MATCH(Loads!$B$159,Loads!$C$125:$C$132,0))&amp;"",""),"")</f>
        <v/>
      </c>
      <c r="D159" s="3">
        <f>IF(AND(Loads!$A$159=1,Inputs!$C$230&lt;&gt;""),IFERROR(MATCH(Inputs!$C$230&amp;"",Geometry!$B$58:$B$137,0),0),0)</f>
        <v/>
      </c>
      <c r="E159" s="3">
        <f>IF(AND(Loads!$A$159=1,Inputs!$D$230&lt;&gt;""),IFERROR(MATCH(Inputs!$D$230&amp;"",Geometry!$B$58:$B$137,0),0),0)</f>
        <v/>
      </c>
      <c r="F159" s="3">
        <f>IF(AND(Loads!$A$159=1,Loads!$C$159&lt;&gt;"",Loads!$D$159&gt;0,Loads!$E$159&gt;0),1,0)</f>
        <v/>
      </c>
      <c r="G159" s="3">
        <f>IF(Loads!$F$159=1,INDEX(Geometry!$K$58:$K$137,Loads!$D$159),0)</f>
        <v/>
      </c>
      <c r="H159" s="3">
        <f>IF(Loads!$F$159=1,INDEX(Geometry!$L$58:$L$137,Loads!$D$159),0)</f>
        <v/>
      </c>
      <c r="I159" s="3">
        <f>IF(Loads!$F$159=1,INDEX(Geometry!$K$58:$K$137,Loads!$E$159),0)</f>
        <v/>
      </c>
      <c r="J159" s="3">
        <f>IF(Loads!$F$159=1,INDEX(Geometry!$L$58:$L$137,Loads!$E$159),0)</f>
        <v/>
      </c>
      <c r="K159" s="3">
        <f>SQRT((Loads!$I$159-Loads!$G$159)^2+(Loads!$J$159-Loads!$H$159)^2)</f>
        <v/>
      </c>
      <c r="L159" s="3">
        <f>IF(Loads!$K$159&lt;1E-9,0,(Loads!$I$159-Loads!$G$159)/Loads!$K$159)</f>
        <v/>
      </c>
      <c r="M159" s="3">
        <f>IF(Loads!$K$159&lt;1E-9,0,(Loads!$J$159-Loads!$H$159)/Loads!$K$159)</f>
        <v/>
      </c>
      <c r="N159" s="3">
        <f>IF(Loads!$F$159=1,Inputs!$E$230+0,0)</f>
        <v/>
      </c>
      <c r="O159" s="3">
        <f>IF(AND(Loads!$F$159=1,Loads!$C$159="fixed"),INDEX(Loads!$K$125:$K$132,MATCH(Loads!$B$159,Loads!$C$125:$C$132,0)),0)</f>
        <v/>
      </c>
      <c r="P159" s="3">
        <f>Loads!$O$159*Loads!$L$159*Loads!$N$159</f>
        <v/>
      </c>
      <c r="Q159" s="3">
        <f>Loads!$O$159*Loads!$M$159*Loads!$N$159</f>
        <v/>
      </c>
      <c r="R159" s="3">
        <f>IF(Loads!$C$159="solve",Loads!$L$159*Loads!$N$159,0)</f>
        <v/>
      </c>
      <c r="S159" s="3">
        <f>IF(Loads!$C$159="solve",Loads!$M$159*Loads!$N$159,0)</f>
        <v/>
      </c>
      <c r="T159" s="3">
        <f>IF(Loads!$F$159=1,Loads!$K$159*MAX(1,INT(Loads!$N$159)),0)</f>
        <v/>
      </c>
      <c r="U159" s="3">
        <f>IF(Loads!$F$159=1,SUMIFS(Loads!$F$139:$F$146,Loads!$C$139:$C$146,Loads!$B$159),0)</f>
        <v/>
      </c>
      <c r="V159" s="3">
        <f>Loads!$T$159*Loads!$U$159/2000</f>
        <v/>
      </c>
      <c r="W159" s="3">
        <f>IF(Loads!$F$159=1,IF(INDEX(Inputs!$K$138:$K$217,Loads!$D$159)=1,Inputs!$C$230&amp;"",IF(INDEX(Inputs!$K$138:$K$217,Loads!$E$159)=1,Inputs!$D$230&amp;"","")),"")</f>
        <v/>
      </c>
      <c r="X159" s="3">
        <f>IF(Loads!$W$159&lt;&gt;"",1,0)</f>
        <v/>
      </c>
      <c r="Y159" s="3">
        <f>IF(Loads!$X$159=1,SUMIFS(Loads!$X$153:X159,Loads!$B$153:B159,Loads!$B$159),0)</f>
        <v/>
      </c>
      <c r="Z159" s="3">
        <f>IF(AND(Loads!$X$159=1,Loads!$Y$159=1),Loads!$B$159,"")</f>
        <v/>
      </c>
    </row>
    <row r="160">
      <c r="A160" s="3">
        <f>Inputs!$A$231</f>
        <v/>
      </c>
      <c r="B160" s="3">
        <f>IF(Loads!$A$160=1,Inputs!$B$231&amp;"","")</f>
        <v/>
      </c>
      <c r="C160" s="3">
        <f>IF(AND(Loads!$A$160=1,Loads!$B$160&lt;&gt;""),IFERROR(INDEX(Loads!$D$125:$D$132,MATCH(Loads!$B$160,Loads!$C$125:$C$132,0))&amp;"",""),"")</f>
        <v/>
      </c>
      <c r="D160" s="3">
        <f>IF(AND(Loads!$A$160=1,Inputs!$C$231&lt;&gt;""),IFERROR(MATCH(Inputs!$C$231&amp;"",Geometry!$B$58:$B$137,0),0),0)</f>
        <v/>
      </c>
      <c r="E160" s="3">
        <f>IF(AND(Loads!$A$160=1,Inputs!$D$231&lt;&gt;""),IFERROR(MATCH(Inputs!$D$231&amp;"",Geometry!$B$58:$B$137,0),0),0)</f>
        <v/>
      </c>
      <c r="F160" s="3">
        <f>IF(AND(Loads!$A$160=1,Loads!$C$160&lt;&gt;"",Loads!$D$160&gt;0,Loads!$E$160&gt;0),1,0)</f>
        <v/>
      </c>
      <c r="G160" s="3">
        <f>IF(Loads!$F$160=1,INDEX(Geometry!$K$58:$K$137,Loads!$D$160),0)</f>
        <v/>
      </c>
      <c r="H160" s="3">
        <f>IF(Loads!$F$160=1,INDEX(Geometry!$L$58:$L$137,Loads!$D$160),0)</f>
        <v/>
      </c>
      <c r="I160" s="3">
        <f>IF(Loads!$F$160=1,INDEX(Geometry!$K$58:$K$137,Loads!$E$160),0)</f>
        <v/>
      </c>
      <c r="J160" s="3">
        <f>IF(Loads!$F$160=1,INDEX(Geometry!$L$58:$L$137,Loads!$E$160),0)</f>
        <v/>
      </c>
      <c r="K160" s="3">
        <f>SQRT((Loads!$I$160-Loads!$G$160)^2+(Loads!$J$160-Loads!$H$160)^2)</f>
        <v/>
      </c>
      <c r="L160" s="3">
        <f>IF(Loads!$K$160&lt;1E-9,0,(Loads!$I$160-Loads!$G$160)/Loads!$K$160)</f>
        <v/>
      </c>
      <c r="M160" s="3">
        <f>IF(Loads!$K$160&lt;1E-9,0,(Loads!$J$160-Loads!$H$160)/Loads!$K$160)</f>
        <v/>
      </c>
      <c r="N160" s="3">
        <f>IF(Loads!$F$160=1,Inputs!$E$231+0,0)</f>
        <v/>
      </c>
      <c r="O160" s="3">
        <f>IF(AND(Loads!$F$160=1,Loads!$C$160="fixed"),INDEX(Loads!$K$125:$K$132,MATCH(Loads!$B$160,Loads!$C$125:$C$132,0)),0)</f>
        <v/>
      </c>
      <c r="P160" s="3">
        <f>Loads!$O$160*Loads!$L$160*Loads!$N$160</f>
        <v/>
      </c>
      <c r="Q160" s="3">
        <f>Loads!$O$160*Loads!$M$160*Loads!$N$160</f>
        <v/>
      </c>
      <c r="R160" s="3">
        <f>IF(Loads!$C$160="solve",Loads!$L$160*Loads!$N$160,0)</f>
        <v/>
      </c>
      <c r="S160" s="3">
        <f>IF(Loads!$C$160="solve",Loads!$M$160*Loads!$N$160,0)</f>
        <v/>
      </c>
      <c r="T160" s="3">
        <f>IF(Loads!$F$160=1,Loads!$K$160*MAX(1,INT(Loads!$N$160)),0)</f>
        <v/>
      </c>
      <c r="U160" s="3">
        <f>IF(Loads!$F$160=1,SUMIFS(Loads!$F$139:$F$146,Loads!$C$139:$C$146,Loads!$B$160),0)</f>
        <v/>
      </c>
      <c r="V160" s="3">
        <f>Loads!$T$160*Loads!$U$160/2000</f>
        <v/>
      </c>
      <c r="W160" s="3">
        <f>IF(Loads!$F$160=1,IF(INDEX(Inputs!$K$138:$K$217,Loads!$D$160)=1,Inputs!$C$231&amp;"",IF(INDEX(Inputs!$K$138:$K$217,Loads!$E$160)=1,Inputs!$D$231&amp;"","")),"")</f>
        <v/>
      </c>
      <c r="X160" s="3">
        <f>IF(Loads!$W$160&lt;&gt;"",1,0)</f>
        <v/>
      </c>
      <c r="Y160" s="3">
        <f>IF(Loads!$X$160=1,SUMIFS(Loads!$X$153:X160,Loads!$B$153:B160,Loads!$B$160),0)</f>
        <v/>
      </c>
      <c r="Z160" s="3">
        <f>IF(AND(Loads!$X$160=1,Loads!$Y$160=1),Loads!$B$160,"")</f>
        <v/>
      </c>
    </row>
    <row r="161">
      <c r="A161" s="3">
        <f>Inputs!$A$232</f>
        <v/>
      </c>
      <c r="B161" s="3">
        <f>IF(Loads!$A$161=1,Inputs!$B$232&amp;"","")</f>
        <v/>
      </c>
      <c r="C161" s="3">
        <f>IF(AND(Loads!$A$161=1,Loads!$B$161&lt;&gt;""),IFERROR(INDEX(Loads!$D$125:$D$132,MATCH(Loads!$B$161,Loads!$C$125:$C$132,0))&amp;"",""),"")</f>
        <v/>
      </c>
      <c r="D161" s="3">
        <f>IF(AND(Loads!$A$161=1,Inputs!$C$232&lt;&gt;""),IFERROR(MATCH(Inputs!$C$232&amp;"",Geometry!$B$58:$B$137,0),0),0)</f>
        <v/>
      </c>
      <c r="E161" s="3">
        <f>IF(AND(Loads!$A$161=1,Inputs!$D$232&lt;&gt;""),IFERROR(MATCH(Inputs!$D$232&amp;"",Geometry!$B$58:$B$137,0),0),0)</f>
        <v/>
      </c>
      <c r="F161" s="3">
        <f>IF(AND(Loads!$A$161=1,Loads!$C$161&lt;&gt;"",Loads!$D$161&gt;0,Loads!$E$161&gt;0),1,0)</f>
        <v/>
      </c>
      <c r="G161" s="3">
        <f>IF(Loads!$F$161=1,INDEX(Geometry!$K$58:$K$137,Loads!$D$161),0)</f>
        <v/>
      </c>
      <c r="H161" s="3">
        <f>IF(Loads!$F$161=1,INDEX(Geometry!$L$58:$L$137,Loads!$D$161),0)</f>
        <v/>
      </c>
      <c r="I161" s="3">
        <f>IF(Loads!$F$161=1,INDEX(Geometry!$K$58:$K$137,Loads!$E$161),0)</f>
        <v/>
      </c>
      <c r="J161" s="3">
        <f>IF(Loads!$F$161=1,INDEX(Geometry!$L$58:$L$137,Loads!$E$161),0)</f>
        <v/>
      </c>
      <c r="K161" s="3">
        <f>SQRT((Loads!$I$161-Loads!$G$161)^2+(Loads!$J$161-Loads!$H$161)^2)</f>
        <v/>
      </c>
      <c r="L161" s="3">
        <f>IF(Loads!$K$161&lt;1E-9,0,(Loads!$I$161-Loads!$G$161)/Loads!$K$161)</f>
        <v/>
      </c>
      <c r="M161" s="3">
        <f>IF(Loads!$K$161&lt;1E-9,0,(Loads!$J$161-Loads!$H$161)/Loads!$K$161)</f>
        <v/>
      </c>
      <c r="N161" s="3">
        <f>IF(Loads!$F$161=1,Inputs!$E$232+0,0)</f>
        <v/>
      </c>
      <c r="O161" s="3">
        <f>IF(AND(Loads!$F$161=1,Loads!$C$161="fixed"),INDEX(Loads!$K$125:$K$132,MATCH(Loads!$B$161,Loads!$C$125:$C$132,0)),0)</f>
        <v/>
      </c>
      <c r="P161" s="3">
        <f>Loads!$O$161*Loads!$L$161*Loads!$N$161</f>
        <v/>
      </c>
      <c r="Q161" s="3">
        <f>Loads!$O$161*Loads!$M$161*Loads!$N$161</f>
        <v/>
      </c>
      <c r="R161" s="3">
        <f>IF(Loads!$C$161="solve",Loads!$L$161*Loads!$N$161,0)</f>
        <v/>
      </c>
      <c r="S161" s="3">
        <f>IF(Loads!$C$161="solve",Loads!$M$161*Loads!$N$161,0)</f>
        <v/>
      </c>
      <c r="T161" s="3">
        <f>IF(Loads!$F$161=1,Loads!$K$161*MAX(1,INT(Loads!$N$161)),0)</f>
        <v/>
      </c>
      <c r="U161" s="3">
        <f>IF(Loads!$F$161=1,SUMIFS(Loads!$F$139:$F$146,Loads!$C$139:$C$146,Loads!$B$161),0)</f>
        <v/>
      </c>
      <c r="V161" s="3">
        <f>Loads!$T$161*Loads!$U$161/2000</f>
        <v/>
      </c>
      <c r="W161" s="3">
        <f>IF(Loads!$F$161=1,IF(INDEX(Inputs!$K$138:$K$217,Loads!$D$161)=1,Inputs!$C$232&amp;"",IF(INDEX(Inputs!$K$138:$K$217,Loads!$E$161)=1,Inputs!$D$232&amp;"","")),"")</f>
        <v/>
      </c>
      <c r="X161" s="3">
        <f>IF(Loads!$W$161&lt;&gt;"",1,0)</f>
        <v/>
      </c>
      <c r="Y161" s="3">
        <f>IF(Loads!$X$161=1,SUMIFS(Loads!$X$153:X161,Loads!$B$153:B161,Loads!$B$161),0)</f>
        <v/>
      </c>
      <c r="Z161" s="3">
        <f>IF(AND(Loads!$X$161=1,Loads!$Y$161=1),Loads!$B$161,"")</f>
        <v/>
      </c>
    </row>
    <row r="162">
      <c r="A162" s="3">
        <f>Inputs!$A$233</f>
        <v/>
      </c>
      <c r="B162" s="3">
        <f>IF(Loads!$A$162=1,Inputs!$B$233&amp;"","")</f>
        <v/>
      </c>
      <c r="C162" s="3">
        <f>IF(AND(Loads!$A$162=1,Loads!$B$162&lt;&gt;""),IFERROR(INDEX(Loads!$D$125:$D$132,MATCH(Loads!$B$162,Loads!$C$125:$C$132,0))&amp;"",""),"")</f>
        <v/>
      </c>
      <c r="D162" s="3">
        <f>IF(AND(Loads!$A$162=1,Inputs!$C$233&lt;&gt;""),IFERROR(MATCH(Inputs!$C$233&amp;"",Geometry!$B$58:$B$137,0),0),0)</f>
        <v/>
      </c>
      <c r="E162" s="3">
        <f>IF(AND(Loads!$A$162=1,Inputs!$D$233&lt;&gt;""),IFERROR(MATCH(Inputs!$D$233&amp;"",Geometry!$B$58:$B$137,0),0),0)</f>
        <v/>
      </c>
      <c r="F162" s="3">
        <f>IF(AND(Loads!$A$162=1,Loads!$C$162&lt;&gt;"",Loads!$D$162&gt;0,Loads!$E$162&gt;0),1,0)</f>
        <v/>
      </c>
      <c r="G162" s="3">
        <f>IF(Loads!$F$162=1,INDEX(Geometry!$K$58:$K$137,Loads!$D$162),0)</f>
        <v/>
      </c>
      <c r="H162" s="3">
        <f>IF(Loads!$F$162=1,INDEX(Geometry!$L$58:$L$137,Loads!$D$162),0)</f>
        <v/>
      </c>
      <c r="I162" s="3">
        <f>IF(Loads!$F$162=1,INDEX(Geometry!$K$58:$K$137,Loads!$E$162),0)</f>
        <v/>
      </c>
      <c r="J162" s="3">
        <f>IF(Loads!$F$162=1,INDEX(Geometry!$L$58:$L$137,Loads!$E$162),0)</f>
        <v/>
      </c>
      <c r="K162" s="3">
        <f>SQRT((Loads!$I$162-Loads!$G$162)^2+(Loads!$J$162-Loads!$H$162)^2)</f>
        <v/>
      </c>
      <c r="L162" s="3">
        <f>IF(Loads!$K$162&lt;1E-9,0,(Loads!$I$162-Loads!$G$162)/Loads!$K$162)</f>
        <v/>
      </c>
      <c r="M162" s="3">
        <f>IF(Loads!$K$162&lt;1E-9,0,(Loads!$J$162-Loads!$H$162)/Loads!$K$162)</f>
        <v/>
      </c>
      <c r="N162" s="3">
        <f>IF(Loads!$F$162=1,Inputs!$E$233+0,0)</f>
        <v/>
      </c>
      <c r="O162" s="3">
        <f>IF(AND(Loads!$F$162=1,Loads!$C$162="fixed"),INDEX(Loads!$K$125:$K$132,MATCH(Loads!$B$162,Loads!$C$125:$C$132,0)),0)</f>
        <v/>
      </c>
      <c r="P162" s="3">
        <f>Loads!$O$162*Loads!$L$162*Loads!$N$162</f>
        <v/>
      </c>
      <c r="Q162" s="3">
        <f>Loads!$O$162*Loads!$M$162*Loads!$N$162</f>
        <v/>
      </c>
      <c r="R162" s="3">
        <f>IF(Loads!$C$162="solve",Loads!$L$162*Loads!$N$162,0)</f>
        <v/>
      </c>
      <c r="S162" s="3">
        <f>IF(Loads!$C$162="solve",Loads!$M$162*Loads!$N$162,0)</f>
        <v/>
      </c>
      <c r="T162" s="3">
        <f>IF(Loads!$F$162=1,Loads!$K$162*MAX(1,INT(Loads!$N$162)),0)</f>
        <v/>
      </c>
      <c r="U162" s="3">
        <f>IF(Loads!$F$162=1,SUMIFS(Loads!$F$139:$F$146,Loads!$C$139:$C$146,Loads!$B$162),0)</f>
        <v/>
      </c>
      <c r="V162" s="3">
        <f>Loads!$T$162*Loads!$U$162/2000</f>
        <v/>
      </c>
      <c r="W162" s="3">
        <f>IF(Loads!$F$162=1,IF(INDEX(Inputs!$K$138:$K$217,Loads!$D$162)=1,Inputs!$C$233&amp;"",IF(INDEX(Inputs!$K$138:$K$217,Loads!$E$162)=1,Inputs!$D$233&amp;"","")),"")</f>
        <v/>
      </c>
      <c r="X162" s="3">
        <f>IF(Loads!$W$162&lt;&gt;"",1,0)</f>
        <v/>
      </c>
      <c r="Y162" s="3">
        <f>IF(Loads!$X$162=1,SUMIFS(Loads!$X$153:X162,Loads!$B$153:B162,Loads!$B$162),0)</f>
        <v/>
      </c>
      <c r="Z162" s="3">
        <f>IF(AND(Loads!$X$162=1,Loads!$Y$162=1),Loads!$B$162,"")</f>
        <v/>
      </c>
    </row>
    <row r="163">
      <c r="A163" s="3">
        <f>Inputs!$A$234</f>
        <v/>
      </c>
      <c r="B163" s="3">
        <f>IF(Loads!$A$163=1,Inputs!$B$234&amp;"","")</f>
        <v/>
      </c>
      <c r="C163" s="3">
        <f>IF(AND(Loads!$A$163=1,Loads!$B$163&lt;&gt;""),IFERROR(INDEX(Loads!$D$125:$D$132,MATCH(Loads!$B$163,Loads!$C$125:$C$132,0))&amp;"",""),"")</f>
        <v/>
      </c>
      <c r="D163" s="3">
        <f>IF(AND(Loads!$A$163=1,Inputs!$C$234&lt;&gt;""),IFERROR(MATCH(Inputs!$C$234&amp;"",Geometry!$B$58:$B$137,0),0),0)</f>
        <v/>
      </c>
      <c r="E163" s="3">
        <f>IF(AND(Loads!$A$163=1,Inputs!$D$234&lt;&gt;""),IFERROR(MATCH(Inputs!$D$234&amp;"",Geometry!$B$58:$B$137,0),0),0)</f>
        <v/>
      </c>
      <c r="F163" s="3">
        <f>IF(AND(Loads!$A$163=1,Loads!$C$163&lt;&gt;"",Loads!$D$163&gt;0,Loads!$E$163&gt;0),1,0)</f>
        <v/>
      </c>
      <c r="G163" s="3">
        <f>IF(Loads!$F$163=1,INDEX(Geometry!$K$58:$K$137,Loads!$D$163),0)</f>
        <v/>
      </c>
      <c r="H163" s="3">
        <f>IF(Loads!$F$163=1,INDEX(Geometry!$L$58:$L$137,Loads!$D$163),0)</f>
        <v/>
      </c>
      <c r="I163" s="3">
        <f>IF(Loads!$F$163=1,INDEX(Geometry!$K$58:$K$137,Loads!$E$163),0)</f>
        <v/>
      </c>
      <c r="J163" s="3">
        <f>IF(Loads!$F$163=1,INDEX(Geometry!$L$58:$L$137,Loads!$E$163),0)</f>
        <v/>
      </c>
      <c r="K163" s="3">
        <f>SQRT((Loads!$I$163-Loads!$G$163)^2+(Loads!$J$163-Loads!$H$163)^2)</f>
        <v/>
      </c>
      <c r="L163" s="3">
        <f>IF(Loads!$K$163&lt;1E-9,0,(Loads!$I$163-Loads!$G$163)/Loads!$K$163)</f>
        <v/>
      </c>
      <c r="M163" s="3">
        <f>IF(Loads!$K$163&lt;1E-9,0,(Loads!$J$163-Loads!$H$163)/Loads!$K$163)</f>
        <v/>
      </c>
      <c r="N163" s="3">
        <f>IF(Loads!$F$163=1,Inputs!$E$234+0,0)</f>
        <v/>
      </c>
      <c r="O163" s="3">
        <f>IF(AND(Loads!$F$163=1,Loads!$C$163="fixed"),INDEX(Loads!$K$125:$K$132,MATCH(Loads!$B$163,Loads!$C$125:$C$132,0)),0)</f>
        <v/>
      </c>
      <c r="P163" s="3">
        <f>Loads!$O$163*Loads!$L$163*Loads!$N$163</f>
        <v/>
      </c>
      <c r="Q163" s="3">
        <f>Loads!$O$163*Loads!$M$163*Loads!$N$163</f>
        <v/>
      </c>
      <c r="R163" s="3">
        <f>IF(Loads!$C$163="solve",Loads!$L$163*Loads!$N$163,0)</f>
        <v/>
      </c>
      <c r="S163" s="3">
        <f>IF(Loads!$C$163="solve",Loads!$M$163*Loads!$N$163,0)</f>
        <v/>
      </c>
      <c r="T163" s="3">
        <f>IF(Loads!$F$163=1,Loads!$K$163*MAX(1,INT(Loads!$N$163)),0)</f>
        <v/>
      </c>
      <c r="U163" s="3">
        <f>IF(Loads!$F$163=1,SUMIFS(Loads!$F$139:$F$146,Loads!$C$139:$C$146,Loads!$B$163),0)</f>
        <v/>
      </c>
      <c r="V163" s="3">
        <f>Loads!$T$163*Loads!$U$163/2000</f>
        <v/>
      </c>
      <c r="W163" s="3">
        <f>IF(Loads!$F$163=1,IF(INDEX(Inputs!$K$138:$K$217,Loads!$D$163)=1,Inputs!$C$234&amp;"",IF(INDEX(Inputs!$K$138:$K$217,Loads!$E$163)=1,Inputs!$D$234&amp;"","")),"")</f>
        <v/>
      </c>
      <c r="X163" s="3">
        <f>IF(Loads!$W$163&lt;&gt;"",1,0)</f>
        <v/>
      </c>
      <c r="Y163" s="3">
        <f>IF(Loads!$X$163=1,SUMIFS(Loads!$X$153:X163,Loads!$B$153:B163,Loads!$B$163),0)</f>
        <v/>
      </c>
      <c r="Z163" s="3">
        <f>IF(AND(Loads!$X$163=1,Loads!$Y$163=1),Loads!$B$163,"")</f>
        <v/>
      </c>
    </row>
    <row r="164">
      <c r="A164" s="3">
        <f>Inputs!$A$235</f>
        <v/>
      </c>
      <c r="B164" s="3">
        <f>IF(Loads!$A$164=1,Inputs!$B$235&amp;"","")</f>
        <v/>
      </c>
      <c r="C164" s="3">
        <f>IF(AND(Loads!$A$164=1,Loads!$B$164&lt;&gt;""),IFERROR(INDEX(Loads!$D$125:$D$132,MATCH(Loads!$B$164,Loads!$C$125:$C$132,0))&amp;"",""),"")</f>
        <v/>
      </c>
      <c r="D164" s="3">
        <f>IF(AND(Loads!$A$164=1,Inputs!$C$235&lt;&gt;""),IFERROR(MATCH(Inputs!$C$235&amp;"",Geometry!$B$58:$B$137,0),0),0)</f>
        <v/>
      </c>
      <c r="E164" s="3">
        <f>IF(AND(Loads!$A$164=1,Inputs!$D$235&lt;&gt;""),IFERROR(MATCH(Inputs!$D$235&amp;"",Geometry!$B$58:$B$137,0),0),0)</f>
        <v/>
      </c>
      <c r="F164" s="3">
        <f>IF(AND(Loads!$A$164=1,Loads!$C$164&lt;&gt;"",Loads!$D$164&gt;0,Loads!$E$164&gt;0),1,0)</f>
        <v/>
      </c>
      <c r="G164" s="3">
        <f>IF(Loads!$F$164=1,INDEX(Geometry!$K$58:$K$137,Loads!$D$164),0)</f>
        <v/>
      </c>
      <c r="H164" s="3">
        <f>IF(Loads!$F$164=1,INDEX(Geometry!$L$58:$L$137,Loads!$D$164),0)</f>
        <v/>
      </c>
      <c r="I164" s="3">
        <f>IF(Loads!$F$164=1,INDEX(Geometry!$K$58:$K$137,Loads!$E$164),0)</f>
        <v/>
      </c>
      <c r="J164" s="3">
        <f>IF(Loads!$F$164=1,INDEX(Geometry!$L$58:$L$137,Loads!$E$164),0)</f>
        <v/>
      </c>
      <c r="K164" s="3">
        <f>SQRT((Loads!$I$164-Loads!$G$164)^2+(Loads!$J$164-Loads!$H$164)^2)</f>
        <v/>
      </c>
      <c r="L164" s="3">
        <f>IF(Loads!$K$164&lt;1E-9,0,(Loads!$I$164-Loads!$G$164)/Loads!$K$164)</f>
        <v/>
      </c>
      <c r="M164" s="3">
        <f>IF(Loads!$K$164&lt;1E-9,0,(Loads!$J$164-Loads!$H$164)/Loads!$K$164)</f>
        <v/>
      </c>
      <c r="N164" s="3">
        <f>IF(Loads!$F$164=1,Inputs!$E$235+0,0)</f>
        <v/>
      </c>
      <c r="O164" s="3">
        <f>IF(AND(Loads!$F$164=1,Loads!$C$164="fixed"),INDEX(Loads!$K$125:$K$132,MATCH(Loads!$B$164,Loads!$C$125:$C$132,0)),0)</f>
        <v/>
      </c>
      <c r="P164" s="3">
        <f>Loads!$O$164*Loads!$L$164*Loads!$N$164</f>
        <v/>
      </c>
      <c r="Q164" s="3">
        <f>Loads!$O$164*Loads!$M$164*Loads!$N$164</f>
        <v/>
      </c>
      <c r="R164" s="3">
        <f>IF(Loads!$C$164="solve",Loads!$L$164*Loads!$N$164,0)</f>
        <v/>
      </c>
      <c r="S164" s="3">
        <f>IF(Loads!$C$164="solve",Loads!$M$164*Loads!$N$164,0)</f>
        <v/>
      </c>
      <c r="T164" s="3">
        <f>IF(Loads!$F$164=1,Loads!$K$164*MAX(1,INT(Loads!$N$164)),0)</f>
        <v/>
      </c>
      <c r="U164" s="3">
        <f>IF(Loads!$F$164=1,SUMIFS(Loads!$F$139:$F$146,Loads!$C$139:$C$146,Loads!$B$164),0)</f>
        <v/>
      </c>
      <c r="V164" s="3">
        <f>Loads!$T$164*Loads!$U$164/2000</f>
        <v/>
      </c>
      <c r="W164" s="3">
        <f>IF(Loads!$F$164=1,IF(INDEX(Inputs!$K$138:$K$217,Loads!$D$164)=1,Inputs!$C$235&amp;"",IF(INDEX(Inputs!$K$138:$K$217,Loads!$E$164)=1,Inputs!$D$235&amp;"","")),"")</f>
        <v/>
      </c>
      <c r="X164" s="3">
        <f>IF(Loads!$W$164&lt;&gt;"",1,0)</f>
        <v/>
      </c>
      <c r="Y164" s="3">
        <f>IF(Loads!$X$164=1,SUMIFS(Loads!$X$153:X164,Loads!$B$153:B164,Loads!$B$164),0)</f>
        <v/>
      </c>
      <c r="Z164" s="3">
        <f>IF(AND(Loads!$X$164=1,Loads!$Y$164=1),Loads!$B$164,"")</f>
        <v/>
      </c>
    </row>
    <row r="165">
      <c r="A165" s="3">
        <f>Inputs!$A$236</f>
        <v/>
      </c>
      <c r="B165" s="3">
        <f>IF(Loads!$A$165=1,Inputs!$B$236&amp;"","")</f>
        <v/>
      </c>
      <c r="C165" s="3">
        <f>IF(AND(Loads!$A$165=1,Loads!$B$165&lt;&gt;""),IFERROR(INDEX(Loads!$D$125:$D$132,MATCH(Loads!$B$165,Loads!$C$125:$C$132,0))&amp;"",""),"")</f>
        <v/>
      </c>
      <c r="D165" s="3">
        <f>IF(AND(Loads!$A$165=1,Inputs!$C$236&lt;&gt;""),IFERROR(MATCH(Inputs!$C$236&amp;"",Geometry!$B$58:$B$137,0),0),0)</f>
        <v/>
      </c>
      <c r="E165" s="3">
        <f>IF(AND(Loads!$A$165=1,Inputs!$D$236&lt;&gt;""),IFERROR(MATCH(Inputs!$D$236&amp;"",Geometry!$B$58:$B$137,0),0),0)</f>
        <v/>
      </c>
      <c r="F165" s="3">
        <f>IF(AND(Loads!$A$165=1,Loads!$C$165&lt;&gt;"",Loads!$D$165&gt;0,Loads!$E$165&gt;0),1,0)</f>
        <v/>
      </c>
      <c r="G165" s="3">
        <f>IF(Loads!$F$165=1,INDEX(Geometry!$K$58:$K$137,Loads!$D$165),0)</f>
        <v/>
      </c>
      <c r="H165" s="3">
        <f>IF(Loads!$F$165=1,INDEX(Geometry!$L$58:$L$137,Loads!$D$165),0)</f>
        <v/>
      </c>
      <c r="I165" s="3">
        <f>IF(Loads!$F$165=1,INDEX(Geometry!$K$58:$K$137,Loads!$E$165),0)</f>
        <v/>
      </c>
      <c r="J165" s="3">
        <f>IF(Loads!$F$165=1,INDEX(Geometry!$L$58:$L$137,Loads!$E$165),0)</f>
        <v/>
      </c>
      <c r="K165" s="3">
        <f>SQRT((Loads!$I$165-Loads!$G$165)^2+(Loads!$J$165-Loads!$H$165)^2)</f>
        <v/>
      </c>
      <c r="L165" s="3">
        <f>IF(Loads!$K$165&lt;1E-9,0,(Loads!$I$165-Loads!$G$165)/Loads!$K$165)</f>
        <v/>
      </c>
      <c r="M165" s="3">
        <f>IF(Loads!$K$165&lt;1E-9,0,(Loads!$J$165-Loads!$H$165)/Loads!$K$165)</f>
        <v/>
      </c>
      <c r="N165" s="3">
        <f>IF(Loads!$F$165=1,Inputs!$E$236+0,0)</f>
        <v/>
      </c>
      <c r="O165" s="3">
        <f>IF(AND(Loads!$F$165=1,Loads!$C$165="fixed"),INDEX(Loads!$K$125:$K$132,MATCH(Loads!$B$165,Loads!$C$125:$C$132,0)),0)</f>
        <v/>
      </c>
      <c r="P165" s="3">
        <f>Loads!$O$165*Loads!$L$165*Loads!$N$165</f>
        <v/>
      </c>
      <c r="Q165" s="3">
        <f>Loads!$O$165*Loads!$M$165*Loads!$N$165</f>
        <v/>
      </c>
      <c r="R165" s="3">
        <f>IF(Loads!$C$165="solve",Loads!$L$165*Loads!$N$165,0)</f>
        <v/>
      </c>
      <c r="S165" s="3">
        <f>IF(Loads!$C$165="solve",Loads!$M$165*Loads!$N$165,0)</f>
        <v/>
      </c>
      <c r="T165" s="3">
        <f>IF(Loads!$F$165=1,Loads!$K$165*MAX(1,INT(Loads!$N$165)),0)</f>
        <v/>
      </c>
      <c r="U165" s="3">
        <f>IF(Loads!$F$165=1,SUMIFS(Loads!$F$139:$F$146,Loads!$C$139:$C$146,Loads!$B$165),0)</f>
        <v/>
      </c>
      <c r="V165" s="3">
        <f>Loads!$T$165*Loads!$U$165/2000</f>
        <v/>
      </c>
      <c r="W165" s="3">
        <f>IF(Loads!$F$165=1,IF(INDEX(Inputs!$K$138:$K$217,Loads!$D$165)=1,Inputs!$C$236&amp;"",IF(INDEX(Inputs!$K$138:$K$217,Loads!$E$165)=1,Inputs!$D$236&amp;"","")),"")</f>
        <v/>
      </c>
      <c r="X165" s="3">
        <f>IF(Loads!$W$165&lt;&gt;"",1,0)</f>
        <v/>
      </c>
      <c r="Y165" s="3">
        <f>IF(Loads!$X$165=1,SUMIFS(Loads!$X$153:X165,Loads!$B$153:B165,Loads!$B$165),0)</f>
        <v/>
      </c>
      <c r="Z165" s="3">
        <f>IF(AND(Loads!$X$165=1,Loads!$Y$165=1),Loads!$B$165,"")</f>
        <v/>
      </c>
    </row>
    <row r="166">
      <c r="A166" s="3">
        <f>Inputs!$A$237</f>
        <v/>
      </c>
      <c r="B166" s="3">
        <f>IF(Loads!$A$166=1,Inputs!$B$237&amp;"","")</f>
        <v/>
      </c>
      <c r="C166" s="3">
        <f>IF(AND(Loads!$A$166=1,Loads!$B$166&lt;&gt;""),IFERROR(INDEX(Loads!$D$125:$D$132,MATCH(Loads!$B$166,Loads!$C$125:$C$132,0))&amp;"",""),"")</f>
        <v/>
      </c>
      <c r="D166" s="3">
        <f>IF(AND(Loads!$A$166=1,Inputs!$C$237&lt;&gt;""),IFERROR(MATCH(Inputs!$C$237&amp;"",Geometry!$B$58:$B$137,0),0),0)</f>
        <v/>
      </c>
      <c r="E166" s="3">
        <f>IF(AND(Loads!$A$166=1,Inputs!$D$237&lt;&gt;""),IFERROR(MATCH(Inputs!$D$237&amp;"",Geometry!$B$58:$B$137,0),0),0)</f>
        <v/>
      </c>
      <c r="F166" s="3">
        <f>IF(AND(Loads!$A$166=1,Loads!$C$166&lt;&gt;"",Loads!$D$166&gt;0,Loads!$E$166&gt;0),1,0)</f>
        <v/>
      </c>
      <c r="G166" s="3">
        <f>IF(Loads!$F$166=1,INDEX(Geometry!$K$58:$K$137,Loads!$D$166),0)</f>
        <v/>
      </c>
      <c r="H166" s="3">
        <f>IF(Loads!$F$166=1,INDEX(Geometry!$L$58:$L$137,Loads!$D$166),0)</f>
        <v/>
      </c>
      <c r="I166" s="3">
        <f>IF(Loads!$F$166=1,INDEX(Geometry!$K$58:$K$137,Loads!$E$166),0)</f>
        <v/>
      </c>
      <c r="J166" s="3">
        <f>IF(Loads!$F$166=1,INDEX(Geometry!$L$58:$L$137,Loads!$E$166),0)</f>
        <v/>
      </c>
      <c r="K166" s="3">
        <f>SQRT((Loads!$I$166-Loads!$G$166)^2+(Loads!$J$166-Loads!$H$166)^2)</f>
        <v/>
      </c>
      <c r="L166" s="3">
        <f>IF(Loads!$K$166&lt;1E-9,0,(Loads!$I$166-Loads!$G$166)/Loads!$K$166)</f>
        <v/>
      </c>
      <c r="M166" s="3">
        <f>IF(Loads!$K$166&lt;1E-9,0,(Loads!$J$166-Loads!$H$166)/Loads!$K$166)</f>
        <v/>
      </c>
      <c r="N166" s="3">
        <f>IF(Loads!$F$166=1,Inputs!$E$237+0,0)</f>
        <v/>
      </c>
      <c r="O166" s="3">
        <f>IF(AND(Loads!$F$166=1,Loads!$C$166="fixed"),INDEX(Loads!$K$125:$K$132,MATCH(Loads!$B$166,Loads!$C$125:$C$132,0)),0)</f>
        <v/>
      </c>
      <c r="P166" s="3">
        <f>Loads!$O$166*Loads!$L$166*Loads!$N$166</f>
        <v/>
      </c>
      <c r="Q166" s="3">
        <f>Loads!$O$166*Loads!$M$166*Loads!$N$166</f>
        <v/>
      </c>
      <c r="R166" s="3">
        <f>IF(Loads!$C$166="solve",Loads!$L$166*Loads!$N$166,0)</f>
        <v/>
      </c>
      <c r="S166" s="3">
        <f>IF(Loads!$C$166="solve",Loads!$M$166*Loads!$N$166,0)</f>
        <v/>
      </c>
      <c r="T166" s="3">
        <f>IF(Loads!$F$166=1,Loads!$K$166*MAX(1,INT(Loads!$N$166)),0)</f>
        <v/>
      </c>
      <c r="U166" s="3">
        <f>IF(Loads!$F$166=1,SUMIFS(Loads!$F$139:$F$146,Loads!$C$139:$C$146,Loads!$B$166),0)</f>
        <v/>
      </c>
      <c r="V166" s="3">
        <f>Loads!$T$166*Loads!$U$166/2000</f>
        <v/>
      </c>
      <c r="W166" s="3">
        <f>IF(Loads!$F$166=1,IF(INDEX(Inputs!$K$138:$K$217,Loads!$D$166)=1,Inputs!$C$237&amp;"",IF(INDEX(Inputs!$K$138:$K$217,Loads!$E$166)=1,Inputs!$D$237&amp;"","")),"")</f>
        <v/>
      </c>
      <c r="X166" s="3">
        <f>IF(Loads!$W$166&lt;&gt;"",1,0)</f>
        <v/>
      </c>
      <c r="Y166" s="3">
        <f>IF(Loads!$X$166=1,SUMIFS(Loads!$X$153:X166,Loads!$B$153:B166,Loads!$B$166),0)</f>
        <v/>
      </c>
      <c r="Z166" s="3">
        <f>IF(AND(Loads!$X$166=1,Loads!$Y$166=1),Loads!$B$166,"")</f>
        <v/>
      </c>
    </row>
    <row r="167">
      <c r="A167" s="3">
        <f>Inputs!$A$238</f>
        <v/>
      </c>
      <c r="B167" s="3">
        <f>IF(Loads!$A$167=1,Inputs!$B$238&amp;"","")</f>
        <v/>
      </c>
      <c r="C167" s="3">
        <f>IF(AND(Loads!$A$167=1,Loads!$B$167&lt;&gt;""),IFERROR(INDEX(Loads!$D$125:$D$132,MATCH(Loads!$B$167,Loads!$C$125:$C$132,0))&amp;"",""),"")</f>
        <v/>
      </c>
      <c r="D167" s="3">
        <f>IF(AND(Loads!$A$167=1,Inputs!$C$238&lt;&gt;""),IFERROR(MATCH(Inputs!$C$238&amp;"",Geometry!$B$58:$B$137,0),0),0)</f>
        <v/>
      </c>
      <c r="E167" s="3">
        <f>IF(AND(Loads!$A$167=1,Inputs!$D$238&lt;&gt;""),IFERROR(MATCH(Inputs!$D$238&amp;"",Geometry!$B$58:$B$137,0),0),0)</f>
        <v/>
      </c>
      <c r="F167" s="3">
        <f>IF(AND(Loads!$A$167=1,Loads!$C$167&lt;&gt;"",Loads!$D$167&gt;0,Loads!$E$167&gt;0),1,0)</f>
        <v/>
      </c>
      <c r="G167" s="3">
        <f>IF(Loads!$F$167=1,INDEX(Geometry!$K$58:$K$137,Loads!$D$167),0)</f>
        <v/>
      </c>
      <c r="H167" s="3">
        <f>IF(Loads!$F$167=1,INDEX(Geometry!$L$58:$L$137,Loads!$D$167),0)</f>
        <v/>
      </c>
      <c r="I167" s="3">
        <f>IF(Loads!$F$167=1,INDEX(Geometry!$K$58:$K$137,Loads!$E$167),0)</f>
        <v/>
      </c>
      <c r="J167" s="3">
        <f>IF(Loads!$F$167=1,INDEX(Geometry!$L$58:$L$137,Loads!$E$167),0)</f>
        <v/>
      </c>
      <c r="K167" s="3">
        <f>SQRT((Loads!$I$167-Loads!$G$167)^2+(Loads!$J$167-Loads!$H$167)^2)</f>
        <v/>
      </c>
      <c r="L167" s="3">
        <f>IF(Loads!$K$167&lt;1E-9,0,(Loads!$I$167-Loads!$G$167)/Loads!$K$167)</f>
        <v/>
      </c>
      <c r="M167" s="3">
        <f>IF(Loads!$K$167&lt;1E-9,0,(Loads!$J$167-Loads!$H$167)/Loads!$K$167)</f>
        <v/>
      </c>
      <c r="N167" s="3">
        <f>IF(Loads!$F$167=1,Inputs!$E$238+0,0)</f>
        <v/>
      </c>
      <c r="O167" s="3">
        <f>IF(AND(Loads!$F$167=1,Loads!$C$167="fixed"),INDEX(Loads!$K$125:$K$132,MATCH(Loads!$B$167,Loads!$C$125:$C$132,0)),0)</f>
        <v/>
      </c>
      <c r="P167" s="3">
        <f>Loads!$O$167*Loads!$L$167*Loads!$N$167</f>
        <v/>
      </c>
      <c r="Q167" s="3">
        <f>Loads!$O$167*Loads!$M$167*Loads!$N$167</f>
        <v/>
      </c>
      <c r="R167" s="3">
        <f>IF(Loads!$C$167="solve",Loads!$L$167*Loads!$N$167,0)</f>
        <v/>
      </c>
      <c r="S167" s="3">
        <f>IF(Loads!$C$167="solve",Loads!$M$167*Loads!$N$167,0)</f>
        <v/>
      </c>
      <c r="T167" s="3">
        <f>IF(Loads!$F$167=1,Loads!$K$167*MAX(1,INT(Loads!$N$167)),0)</f>
        <v/>
      </c>
      <c r="U167" s="3">
        <f>IF(Loads!$F$167=1,SUMIFS(Loads!$F$139:$F$146,Loads!$C$139:$C$146,Loads!$B$167),0)</f>
        <v/>
      </c>
      <c r="V167" s="3">
        <f>Loads!$T$167*Loads!$U$167/2000</f>
        <v/>
      </c>
      <c r="W167" s="3">
        <f>IF(Loads!$F$167=1,IF(INDEX(Inputs!$K$138:$K$217,Loads!$D$167)=1,Inputs!$C$238&amp;"",IF(INDEX(Inputs!$K$138:$K$217,Loads!$E$167)=1,Inputs!$D$238&amp;"","")),"")</f>
        <v/>
      </c>
      <c r="X167" s="3">
        <f>IF(Loads!$W$167&lt;&gt;"",1,0)</f>
        <v/>
      </c>
      <c r="Y167" s="3">
        <f>IF(Loads!$X$167=1,SUMIFS(Loads!$X$153:X167,Loads!$B$153:B167,Loads!$B$167),0)</f>
        <v/>
      </c>
      <c r="Z167" s="3">
        <f>IF(AND(Loads!$X$167=1,Loads!$Y$167=1),Loads!$B$167,"")</f>
        <v/>
      </c>
    </row>
    <row r="168">
      <c r="A168" s="3">
        <f>Inputs!$A$239</f>
        <v/>
      </c>
      <c r="B168" s="3">
        <f>IF(Loads!$A$168=1,Inputs!$B$239&amp;"","")</f>
        <v/>
      </c>
      <c r="C168" s="3">
        <f>IF(AND(Loads!$A$168=1,Loads!$B$168&lt;&gt;""),IFERROR(INDEX(Loads!$D$125:$D$132,MATCH(Loads!$B$168,Loads!$C$125:$C$132,0))&amp;"",""),"")</f>
        <v/>
      </c>
      <c r="D168" s="3">
        <f>IF(AND(Loads!$A$168=1,Inputs!$C$239&lt;&gt;""),IFERROR(MATCH(Inputs!$C$239&amp;"",Geometry!$B$58:$B$137,0),0),0)</f>
        <v/>
      </c>
      <c r="E168" s="3">
        <f>IF(AND(Loads!$A$168=1,Inputs!$D$239&lt;&gt;""),IFERROR(MATCH(Inputs!$D$239&amp;"",Geometry!$B$58:$B$137,0),0),0)</f>
        <v/>
      </c>
      <c r="F168" s="3">
        <f>IF(AND(Loads!$A$168=1,Loads!$C$168&lt;&gt;"",Loads!$D$168&gt;0,Loads!$E$168&gt;0),1,0)</f>
        <v/>
      </c>
      <c r="G168" s="3">
        <f>IF(Loads!$F$168=1,INDEX(Geometry!$K$58:$K$137,Loads!$D$168),0)</f>
        <v/>
      </c>
      <c r="H168" s="3">
        <f>IF(Loads!$F$168=1,INDEX(Geometry!$L$58:$L$137,Loads!$D$168),0)</f>
        <v/>
      </c>
      <c r="I168" s="3">
        <f>IF(Loads!$F$168=1,INDEX(Geometry!$K$58:$K$137,Loads!$E$168),0)</f>
        <v/>
      </c>
      <c r="J168" s="3">
        <f>IF(Loads!$F$168=1,INDEX(Geometry!$L$58:$L$137,Loads!$E$168),0)</f>
        <v/>
      </c>
      <c r="K168" s="3">
        <f>SQRT((Loads!$I$168-Loads!$G$168)^2+(Loads!$J$168-Loads!$H$168)^2)</f>
        <v/>
      </c>
      <c r="L168" s="3">
        <f>IF(Loads!$K$168&lt;1E-9,0,(Loads!$I$168-Loads!$G$168)/Loads!$K$168)</f>
        <v/>
      </c>
      <c r="M168" s="3">
        <f>IF(Loads!$K$168&lt;1E-9,0,(Loads!$J$168-Loads!$H$168)/Loads!$K$168)</f>
        <v/>
      </c>
      <c r="N168" s="3">
        <f>IF(Loads!$F$168=1,Inputs!$E$239+0,0)</f>
        <v/>
      </c>
      <c r="O168" s="3">
        <f>IF(AND(Loads!$F$168=1,Loads!$C$168="fixed"),INDEX(Loads!$K$125:$K$132,MATCH(Loads!$B$168,Loads!$C$125:$C$132,0)),0)</f>
        <v/>
      </c>
      <c r="P168" s="3">
        <f>Loads!$O$168*Loads!$L$168*Loads!$N$168</f>
        <v/>
      </c>
      <c r="Q168" s="3">
        <f>Loads!$O$168*Loads!$M$168*Loads!$N$168</f>
        <v/>
      </c>
      <c r="R168" s="3">
        <f>IF(Loads!$C$168="solve",Loads!$L$168*Loads!$N$168,0)</f>
        <v/>
      </c>
      <c r="S168" s="3">
        <f>IF(Loads!$C$168="solve",Loads!$M$168*Loads!$N$168,0)</f>
        <v/>
      </c>
      <c r="T168" s="3">
        <f>IF(Loads!$F$168=1,Loads!$K$168*MAX(1,INT(Loads!$N$168)),0)</f>
        <v/>
      </c>
      <c r="U168" s="3">
        <f>IF(Loads!$F$168=1,SUMIFS(Loads!$F$139:$F$146,Loads!$C$139:$C$146,Loads!$B$168),0)</f>
        <v/>
      </c>
      <c r="V168" s="3">
        <f>Loads!$T$168*Loads!$U$168/2000</f>
        <v/>
      </c>
      <c r="W168" s="3">
        <f>IF(Loads!$F$168=1,IF(INDEX(Inputs!$K$138:$K$217,Loads!$D$168)=1,Inputs!$C$239&amp;"",IF(INDEX(Inputs!$K$138:$K$217,Loads!$E$168)=1,Inputs!$D$239&amp;"","")),"")</f>
        <v/>
      </c>
      <c r="X168" s="3">
        <f>IF(Loads!$W$168&lt;&gt;"",1,0)</f>
        <v/>
      </c>
      <c r="Y168" s="3">
        <f>IF(Loads!$X$168=1,SUMIFS(Loads!$X$153:X168,Loads!$B$153:B168,Loads!$B$168),0)</f>
        <v/>
      </c>
      <c r="Z168" s="3">
        <f>IF(AND(Loads!$X$168=1,Loads!$Y$168=1),Loads!$B$168,"")</f>
        <v/>
      </c>
    </row>
    <row r="169">
      <c r="A169" s="3">
        <f>Inputs!$A$240</f>
        <v/>
      </c>
      <c r="B169" s="3">
        <f>IF(Loads!$A$169=1,Inputs!$B$240&amp;"","")</f>
        <v/>
      </c>
      <c r="C169" s="3">
        <f>IF(AND(Loads!$A$169=1,Loads!$B$169&lt;&gt;""),IFERROR(INDEX(Loads!$D$125:$D$132,MATCH(Loads!$B$169,Loads!$C$125:$C$132,0))&amp;"",""),"")</f>
        <v/>
      </c>
      <c r="D169" s="3">
        <f>IF(AND(Loads!$A$169=1,Inputs!$C$240&lt;&gt;""),IFERROR(MATCH(Inputs!$C$240&amp;"",Geometry!$B$58:$B$137,0),0),0)</f>
        <v/>
      </c>
      <c r="E169" s="3">
        <f>IF(AND(Loads!$A$169=1,Inputs!$D$240&lt;&gt;""),IFERROR(MATCH(Inputs!$D$240&amp;"",Geometry!$B$58:$B$137,0),0),0)</f>
        <v/>
      </c>
      <c r="F169" s="3">
        <f>IF(AND(Loads!$A$169=1,Loads!$C$169&lt;&gt;"",Loads!$D$169&gt;0,Loads!$E$169&gt;0),1,0)</f>
        <v/>
      </c>
      <c r="G169" s="3">
        <f>IF(Loads!$F$169=1,INDEX(Geometry!$K$58:$K$137,Loads!$D$169),0)</f>
        <v/>
      </c>
      <c r="H169" s="3">
        <f>IF(Loads!$F$169=1,INDEX(Geometry!$L$58:$L$137,Loads!$D$169),0)</f>
        <v/>
      </c>
      <c r="I169" s="3">
        <f>IF(Loads!$F$169=1,INDEX(Geometry!$K$58:$K$137,Loads!$E$169),0)</f>
        <v/>
      </c>
      <c r="J169" s="3">
        <f>IF(Loads!$F$169=1,INDEX(Geometry!$L$58:$L$137,Loads!$E$169),0)</f>
        <v/>
      </c>
      <c r="K169" s="3">
        <f>SQRT((Loads!$I$169-Loads!$G$169)^2+(Loads!$J$169-Loads!$H$169)^2)</f>
        <v/>
      </c>
      <c r="L169" s="3">
        <f>IF(Loads!$K$169&lt;1E-9,0,(Loads!$I$169-Loads!$G$169)/Loads!$K$169)</f>
        <v/>
      </c>
      <c r="M169" s="3">
        <f>IF(Loads!$K$169&lt;1E-9,0,(Loads!$J$169-Loads!$H$169)/Loads!$K$169)</f>
        <v/>
      </c>
      <c r="N169" s="3">
        <f>IF(Loads!$F$169=1,Inputs!$E$240+0,0)</f>
        <v/>
      </c>
      <c r="O169" s="3">
        <f>IF(AND(Loads!$F$169=1,Loads!$C$169="fixed"),INDEX(Loads!$K$125:$K$132,MATCH(Loads!$B$169,Loads!$C$125:$C$132,0)),0)</f>
        <v/>
      </c>
      <c r="P169" s="3">
        <f>Loads!$O$169*Loads!$L$169*Loads!$N$169</f>
        <v/>
      </c>
      <c r="Q169" s="3">
        <f>Loads!$O$169*Loads!$M$169*Loads!$N$169</f>
        <v/>
      </c>
      <c r="R169" s="3">
        <f>IF(Loads!$C$169="solve",Loads!$L$169*Loads!$N$169,0)</f>
        <v/>
      </c>
      <c r="S169" s="3">
        <f>IF(Loads!$C$169="solve",Loads!$M$169*Loads!$N$169,0)</f>
        <v/>
      </c>
      <c r="T169" s="3">
        <f>IF(Loads!$F$169=1,Loads!$K$169*MAX(1,INT(Loads!$N$169)),0)</f>
        <v/>
      </c>
      <c r="U169" s="3">
        <f>IF(Loads!$F$169=1,SUMIFS(Loads!$F$139:$F$146,Loads!$C$139:$C$146,Loads!$B$169),0)</f>
        <v/>
      </c>
      <c r="V169" s="3">
        <f>Loads!$T$169*Loads!$U$169/2000</f>
        <v/>
      </c>
      <c r="W169" s="3">
        <f>IF(Loads!$F$169=1,IF(INDEX(Inputs!$K$138:$K$217,Loads!$D$169)=1,Inputs!$C$240&amp;"",IF(INDEX(Inputs!$K$138:$K$217,Loads!$E$169)=1,Inputs!$D$240&amp;"","")),"")</f>
        <v/>
      </c>
      <c r="X169" s="3">
        <f>IF(Loads!$W$169&lt;&gt;"",1,0)</f>
        <v/>
      </c>
      <c r="Y169" s="3">
        <f>IF(Loads!$X$169=1,SUMIFS(Loads!$X$153:X169,Loads!$B$153:B169,Loads!$B$169),0)</f>
        <v/>
      </c>
      <c r="Z169" s="3">
        <f>IF(AND(Loads!$X$169=1,Loads!$Y$169=1),Loads!$B$169,"")</f>
        <v/>
      </c>
    </row>
    <row r="170">
      <c r="A170" s="3">
        <f>Inputs!$A$241</f>
        <v/>
      </c>
      <c r="B170" s="3">
        <f>IF(Loads!$A$170=1,Inputs!$B$241&amp;"","")</f>
        <v/>
      </c>
      <c r="C170" s="3">
        <f>IF(AND(Loads!$A$170=1,Loads!$B$170&lt;&gt;""),IFERROR(INDEX(Loads!$D$125:$D$132,MATCH(Loads!$B$170,Loads!$C$125:$C$132,0))&amp;"",""),"")</f>
        <v/>
      </c>
      <c r="D170" s="3">
        <f>IF(AND(Loads!$A$170=1,Inputs!$C$241&lt;&gt;""),IFERROR(MATCH(Inputs!$C$241&amp;"",Geometry!$B$58:$B$137,0),0),0)</f>
        <v/>
      </c>
      <c r="E170" s="3">
        <f>IF(AND(Loads!$A$170=1,Inputs!$D$241&lt;&gt;""),IFERROR(MATCH(Inputs!$D$241&amp;"",Geometry!$B$58:$B$137,0),0),0)</f>
        <v/>
      </c>
      <c r="F170" s="3">
        <f>IF(AND(Loads!$A$170=1,Loads!$C$170&lt;&gt;"",Loads!$D$170&gt;0,Loads!$E$170&gt;0),1,0)</f>
        <v/>
      </c>
      <c r="G170" s="3">
        <f>IF(Loads!$F$170=1,INDEX(Geometry!$K$58:$K$137,Loads!$D$170),0)</f>
        <v/>
      </c>
      <c r="H170" s="3">
        <f>IF(Loads!$F$170=1,INDEX(Geometry!$L$58:$L$137,Loads!$D$170),0)</f>
        <v/>
      </c>
      <c r="I170" s="3">
        <f>IF(Loads!$F$170=1,INDEX(Geometry!$K$58:$K$137,Loads!$E$170),0)</f>
        <v/>
      </c>
      <c r="J170" s="3">
        <f>IF(Loads!$F$170=1,INDEX(Geometry!$L$58:$L$137,Loads!$E$170),0)</f>
        <v/>
      </c>
      <c r="K170" s="3">
        <f>SQRT((Loads!$I$170-Loads!$G$170)^2+(Loads!$J$170-Loads!$H$170)^2)</f>
        <v/>
      </c>
      <c r="L170" s="3">
        <f>IF(Loads!$K$170&lt;1E-9,0,(Loads!$I$170-Loads!$G$170)/Loads!$K$170)</f>
        <v/>
      </c>
      <c r="M170" s="3">
        <f>IF(Loads!$K$170&lt;1E-9,0,(Loads!$J$170-Loads!$H$170)/Loads!$K$170)</f>
        <v/>
      </c>
      <c r="N170" s="3">
        <f>IF(Loads!$F$170=1,Inputs!$E$241+0,0)</f>
        <v/>
      </c>
      <c r="O170" s="3">
        <f>IF(AND(Loads!$F$170=1,Loads!$C$170="fixed"),INDEX(Loads!$K$125:$K$132,MATCH(Loads!$B$170,Loads!$C$125:$C$132,0)),0)</f>
        <v/>
      </c>
      <c r="P170" s="3">
        <f>Loads!$O$170*Loads!$L$170*Loads!$N$170</f>
        <v/>
      </c>
      <c r="Q170" s="3">
        <f>Loads!$O$170*Loads!$M$170*Loads!$N$170</f>
        <v/>
      </c>
      <c r="R170" s="3">
        <f>IF(Loads!$C$170="solve",Loads!$L$170*Loads!$N$170,0)</f>
        <v/>
      </c>
      <c r="S170" s="3">
        <f>IF(Loads!$C$170="solve",Loads!$M$170*Loads!$N$170,0)</f>
        <v/>
      </c>
      <c r="T170" s="3">
        <f>IF(Loads!$F$170=1,Loads!$K$170*MAX(1,INT(Loads!$N$170)),0)</f>
        <v/>
      </c>
      <c r="U170" s="3">
        <f>IF(Loads!$F$170=1,SUMIFS(Loads!$F$139:$F$146,Loads!$C$139:$C$146,Loads!$B$170),0)</f>
        <v/>
      </c>
      <c r="V170" s="3">
        <f>Loads!$T$170*Loads!$U$170/2000</f>
        <v/>
      </c>
      <c r="W170" s="3">
        <f>IF(Loads!$F$170=1,IF(INDEX(Inputs!$K$138:$K$217,Loads!$D$170)=1,Inputs!$C$241&amp;"",IF(INDEX(Inputs!$K$138:$K$217,Loads!$E$170)=1,Inputs!$D$241&amp;"","")),"")</f>
        <v/>
      </c>
      <c r="X170" s="3">
        <f>IF(Loads!$W$170&lt;&gt;"",1,0)</f>
        <v/>
      </c>
      <c r="Y170" s="3">
        <f>IF(Loads!$X$170=1,SUMIFS(Loads!$X$153:X170,Loads!$B$153:B170,Loads!$B$170),0)</f>
        <v/>
      </c>
      <c r="Z170" s="3">
        <f>IF(AND(Loads!$X$170=1,Loads!$Y$170=1),Loads!$B$170,"")</f>
        <v/>
      </c>
    </row>
    <row r="171">
      <c r="A171" s="3">
        <f>Inputs!$A$242</f>
        <v/>
      </c>
      <c r="B171" s="3">
        <f>IF(Loads!$A$171=1,Inputs!$B$242&amp;"","")</f>
        <v/>
      </c>
      <c r="C171" s="3">
        <f>IF(AND(Loads!$A$171=1,Loads!$B$171&lt;&gt;""),IFERROR(INDEX(Loads!$D$125:$D$132,MATCH(Loads!$B$171,Loads!$C$125:$C$132,0))&amp;"",""),"")</f>
        <v/>
      </c>
      <c r="D171" s="3">
        <f>IF(AND(Loads!$A$171=1,Inputs!$C$242&lt;&gt;""),IFERROR(MATCH(Inputs!$C$242&amp;"",Geometry!$B$58:$B$137,0),0),0)</f>
        <v/>
      </c>
      <c r="E171" s="3">
        <f>IF(AND(Loads!$A$171=1,Inputs!$D$242&lt;&gt;""),IFERROR(MATCH(Inputs!$D$242&amp;"",Geometry!$B$58:$B$137,0),0),0)</f>
        <v/>
      </c>
      <c r="F171" s="3">
        <f>IF(AND(Loads!$A$171=1,Loads!$C$171&lt;&gt;"",Loads!$D$171&gt;0,Loads!$E$171&gt;0),1,0)</f>
        <v/>
      </c>
      <c r="G171" s="3">
        <f>IF(Loads!$F$171=1,INDEX(Geometry!$K$58:$K$137,Loads!$D$171),0)</f>
        <v/>
      </c>
      <c r="H171" s="3">
        <f>IF(Loads!$F$171=1,INDEX(Geometry!$L$58:$L$137,Loads!$D$171),0)</f>
        <v/>
      </c>
      <c r="I171" s="3">
        <f>IF(Loads!$F$171=1,INDEX(Geometry!$K$58:$K$137,Loads!$E$171),0)</f>
        <v/>
      </c>
      <c r="J171" s="3">
        <f>IF(Loads!$F$171=1,INDEX(Geometry!$L$58:$L$137,Loads!$E$171),0)</f>
        <v/>
      </c>
      <c r="K171" s="3">
        <f>SQRT((Loads!$I$171-Loads!$G$171)^2+(Loads!$J$171-Loads!$H$171)^2)</f>
        <v/>
      </c>
      <c r="L171" s="3">
        <f>IF(Loads!$K$171&lt;1E-9,0,(Loads!$I$171-Loads!$G$171)/Loads!$K$171)</f>
        <v/>
      </c>
      <c r="M171" s="3">
        <f>IF(Loads!$K$171&lt;1E-9,0,(Loads!$J$171-Loads!$H$171)/Loads!$K$171)</f>
        <v/>
      </c>
      <c r="N171" s="3">
        <f>IF(Loads!$F$171=1,Inputs!$E$242+0,0)</f>
        <v/>
      </c>
      <c r="O171" s="3">
        <f>IF(AND(Loads!$F$171=1,Loads!$C$171="fixed"),INDEX(Loads!$K$125:$K$132,MATCH(Loads!$B$171,Loads!$C$125:$C$132,0)),0)</f>
        <v/>
      </c>
      <c r="P171" s="3">
        <f>Loads!$O$171*Loads!$L$171*Loads!$N$171</f>
        <v/>
      </c>
      <c r="Q171" s="3">
        <f>Loads!$O$171*Loads!$M$171*Loads!$N$171</f>
        <v/>
      </c>
      <c r="R171" s="3">
        <f>IF(Loads!$C$171="solve",Loads!$L$171*Loads!$N$171,0)</f>
        <v/>
      </c>
      <c r="S171" s="3">
        <f>IF(Loads!$C$171="solve",Loads!$M$171*Loads!$N$171,0)</f>
        <v/>
      </c>
      <c r="T171" s="3">
        <f>IF(Loads!$F$171=1,Loads!$K$171*MAX(1,INT(Loads!$N$171)),0)</f>
        <v/>
      </c>
      <c r="U171" s="3">
        <f>IF(Loads!$F$171=1,SUMIFS(Loads!$F$139:$F$146,Loads!$C$139:$C$146,Loads!$B$171),0)</f>
        <v/>
      </c>
      <c r="V171" s="3">
        <f>Loads!$T$171*Loads!$U$171/2000</f>
        <v/>
      </c>
      <c r="W171" s="3">
        <f>IF(Loads!$F$171=1,IF(INDEX(Inputs!$K$138:$K$217,Loads!$D$171)=1,Inputs!$C$242&amp;"",IF(INDEX(Inputs!$K$138:$K$217,Loads!$E$171)=1,Inputs!$D$242&amp;"","")),"")</f>
        <v/>
      </c>
      <c r="X171" s="3">
        <f>IF(Loads!$W$171&lt;&gt;"",1,0)</f>
        <v/>
      </c>
      <c r="Y171" s="3">
        <f>IF(Loads!$X$171=1,SUMIFS(Loads!$X$153:X171,Loads!$B$153:B171,Loads!$B$171),0)</f>
        <v/>
      </c>
      <c r="Z171" s="3">
        <f>IF(AND(Loads!$X$171=1,Loads!$Y$171=1),Loads!$B$171,"")</f>
        <v/>
      </c>
    </row>
    <row r="172">
      <c r="A172" s="3">
        <f>Inputs!$A$243</f>
        <v/>
      </c>
      <c r="B172" s="3">
        <f>IF(Loads!$A$172=1,Inputs!$B$243&amp;"","")</f>
        <v/>
      </c>
      <c r="C172" s="3">
        <f>IF(AND(Loads!$A$172=1,Loads!$B$172&lt;&gt;""),IFERROR(INDEX(Loads!$D$125:$D$132,MATCH(Loads!$B$172,Loads!$C$125:$C$132,0))&amp;"",""),"")</f>
        <v/>
      </c>
      <c r="D172" s="3">
        <f>IF(AND(Loads!$A$172=1,Inputs!$C$243&lt;&gt;""),IFERROR(MATCH(Inputs!$C$243&amp;"",Geometry!$B$58:$B$137,0),0),0)</f>
        <v/>
      </c>
      <c r="E172" s="3">
        <f>IF(AND(Loads!$A$172=1,Inputs!$D$243&lt;&gt;""),IFERROR(MATCH(Inputs!$D$243&amp;"",Geometry!$B$58:$B$137,0),0),0)</f>
        <v/>
      </c>
      <c r="F172" s="3">
        <f>IF(AND(Loads!$A$172=1,Loads!$C$172&lt;&gt;"",Loads!$D$172&gt;0,Loads!$E$172&gt;0),1,0)</f>
        <v/>
      </c>
      <c r="G172" s="3">
        <f>IF(Loads!$F$172=1,INDEX(Geometry!$K$58:$K$137,Loads!$D$172),0)</f>
        <v/>
      </c>
      <c r="H172" s="3">
        <f>IF(Loads!$F$172=1,INDEX(Geometry!$L$58:$L$137,Loads!$D$172),0)</f>
        <v/>
      </c>
      <c r="I172" s="3">
        <f>IF(Loads!$F$172=1,INDEX(Geometry!$K$58:$K$137,Loads!$E$172),0)</f>
        <v/>
      </c>
      <c r="J172" s="3">
        <f>IF(Loads!$F$172=1,INDEX(Geometry!$L$58:$L$137,Loads!$E$172),0)</f>
        <v/>
      </c>
      <c r="K172" s="3">
        <f>SQRT((Loads!$I$172-Loads!$G$172)^2+(Loads!$J$172-Loads!$H$172)^2)</f>
        <v/>
      </c>
      <c r="L172" s="3">
        <f>IF(Loads!$K$172&lt;1E-9,0,(Loads!$I$172-Loads!$G$172)/Loads!$K$172)</f>
        <v/>
      </c>
      <c r="M172" s="3">
        <f>IF(Loads!$K$172&lt;1E-9,0,(Loads!$J$172-Loads!$H$172)/Loads!$K$172)</f>
        <v/>
      </c>
      <c r="N172" s="3">
        <f>IF(Loads!$F$172=1,Inputs!$E$243+0,0)</f>
        <v/>
      </c>
      <c r="O172" s="3">
        <f>IF(AND(Loads!$F$172=1,Loads!$C$172="fixed"),INDEX(Loads!$K$125:$K$132,MATCH(Loads!$B$172,Loads!$C$125:$C$132,0)),0)</f>
        <v/>
      </c>
      <c r="P172" s="3">
        <f>Loads!$O$172*Loads!$L$172*Loads!$N$172</f>
        <v/>
      </c>
      <c r="Q172" s="3">
        <f>Loads!$O$172*Loads!$M$172*Loads!$N$172</f>
        <v/>
      </c>
      <c r="R172" s="3">
        <f>IF(Loads!$C$172="solve",Loads!$L$172*Loads!$N$172,0)</f>
        <v/>
      </c>
      <c r="S172" s="3">
        <f>IF(Loads!$C$172="solve",Loads!$M$172*Loads!$N$172,0)</f>
        <v/>
      </c>
      <c r="T172" s="3">
        <f>IF(Loads!$F$172=1,Loads!$K$172*MAX(1,INT(Loads!$N$172)),0)</f>
        <v/>
      </c>
      <c r="U172" s="3">
        <f>IF(Loads!$F$172=1,SUMIFS(Loads!$F$139:$F$146,Loads!$C$139:$C$146,Loads!$B$172),0)</f>
        <v/>
      </c>
      <c r="V172" s="3">
        <f>Loads!$T$172*Loads!$U$172/2000</f>
        <v/>
      </c>
      <c r="W172" s="3">
        <f>IF(Loads!$F$172=1,IF(INDEX(Inputs!$K$138:$K$217,Loads!$D$172)=1,Inputs!$C$243&amp;"",IF(INDEX(Inputs!$K$138:$K$217,Loads!$E$172)=1,Inputs!$D$243&amp;"","")),"")</f>
        <v/>
      </c>
      <c r="X172" s="3">
        <f>IF(Loads!$W$172&lt;&gt;"",1,0)</f>
        <v/>
      </c>
      <c r="Y172" s="3">
        <f>IF(Loads!$X$172=1,SUMIFS(Loads!$X$153:X172,Loads!$B$153:B172,Loads!$B$172),0)</f>
        <v/>
      </c>
      <c r="Z172" s="3">
        <f>IF(AND(Loads!$X$172=1,Loads!$Y$172=1),Loads!$B$172,"")</f>
        <v/>
      </c>
    </row>
    <row r="173">
      <c r="A173" s="3">
        <f>Inputs!$A$244</f>
        <v/>
      </c>
      <c r="B173" s="3">
        <f>IF(Loads!$A$173=1,Inputs!$B$244&amp;"","")</f>
        <v/>
      </c>
      <c r="C173" s="3">
        <f>IF(AND(Loads!$A$173=1,Loads!$B$173&lt;&gt;""),IFERROR(INDEX(Loads!$D$125:$D$132,MATCH(Loads!$B$173,Loads!$C$125:$C$132,0))&amp;"",""),"")</f>
        <v/>
      </c>
      <c r="D173" s="3">
        <f>IF(AND(Loads!$A$173=1,Inputs!$C$244&lt;&gt;""),IFERROR(MATCH(Inputs!$C$244&amp;"",Geometry!$B$58:$B$137,0),0),0)</f>
        <v/>
      </c>
      <c r="E173" s="3">
        <f>IF(AND(Loads!$A$173=1,Inputs!$D$244&lt;&gt;""),IFERROR(MATCH(Inputs!$D$244&amp;"",Geometry!$B$58:$B$137,0),0),0)</f>
        <v/>
      </c>
      <c r="F173" s="3">
        <f>IF(AND(Loads!$A$173=1,Loads!$C$173&lt;&gt;"",Loads!$D$173&gt;0,Loads!$E$173&gt;0),1,0)</f>
        <v/>
      </c>
      <c r="G173" s="3">
        <f>IF(Loads!$F$173=1,INDEX(Geometry!$K$58:$K$137,Loads!$D$173),0)</f>
        <v/>
      </c>
      <c r="H173" s="3">
        <f>IF(Loads!$F$173=1,INDEX(Geometry!$L$58:$L$137,Loads!$D$173),0)</f>
        <v/>
      </c>
      <c r="I173" s="3">
        <f>IF(Loads!$F$173=1,INDEX(Geometry!$K$58:$K$137,Loads!$E$173),0)</f>
        <v/>
      </c>
      <c r="J173" s="3">
        <f>IF(Loads!$F$173=1,INDEX(Geometry!$L$58:$L$137,Loads!$E$173),0)</f>
        <v/>
      </c>
      <c r="K173" s="3">
        <f>SQRT((Loads!$I$173-Loads!$G$173)^2+(Loads!$J$173-Loads!$H$173)^2)</f>
        <v/>
      </c>
      <c r="L173" s="3">
        <f>IF(Loads!$K$173&lt;1E-9,0,(Loads!$I$173-Loads!$G$173)/Loads!$K$173)</f>
        <v/>
      </c>
      <c r="M173" s="3">
        <f>IF(Loads!$K$173&lt;1E-9,0,(Loads!$J$173-Loads!$H$173)/Loads!$K$173)</f>
        <v/>
      </c>
      <c r="N173" s="3">
        <f>IF(Loads!$F$173=1,Inputs!$E$244+0,0)</f>
        <v/>
      </c>
      <c r="O173" s="3">
        <f>IF(AND(Loads!$F$173=1,Loads!$C$173="fixed"),INDEX(Loads!$K$125:$K$132,MATCH(Loads!$B$173,Loads!$C$125:$C$132,0)),0)</f>
        <v/>
      </c>
      <c r="P173" s="3">
        <f>Loads!$O$173*Loads!$L$173*Loads!$N$173</f>
        <v/>
      </c>
      <c r="Q173" s="3">
        <f>Loads!$O$173*Loads!$M$173*Loads!$N$173</f>
        <v/>
      </c>
      <c r="R173" s="3">
        <f>IF(Loads!$C$173="solve",Loads!$L$173*Loads!$N$173,0)</f>
        <v/>
      </c>
      <c r="S173" s="3">
        <f>IF(Loads!$C$173="solve",Loads!$M$173*Loads!$N$173,0)</f>
        <v/>
      </c>
      <c r="T173" s="3">
        <f>IF(Loads!$F$173=1,Loads!$K$173*MAX(1,INT(Loads!$N$173)),0)</f>
        <v/>
      </c>
      <c r="U173" s="3">
        <f>IF(Loads!$F$173=1,SUMIFS(Loads!$F$139:$F$146,Loads!$C$139:$C$146,Loads!$B$173),0)</f>
        <v/>
      </c>
      <c r="V173" s="3">
        <f>Loads!$T$173*Loads!$U$173/2000</f>
        <v/>
      </c>
      <c r="W173" s="3">
        <f>IF(Loads!$F$173=1,IF(INDEX(Inputs!$K$138:$K$217,Loads!$D$173)=1,Inputs!$C$244&amp;"",IF(INDEX(Inputs!$K$138:$K$217,Loads!$E$173)=1,Inputs!$D$244&amp;"","")),"")</f>
        <v/>
      </c>
      <c r="X173" s="3">
        <f>IF(Loads!$W$173&lt;&gt;"",1,0)</f>
        <v/>
      </c>
      <c r="Y173" s="3">
        <f>IF(Loads!$X$173=1,SUMIFS(Loads!$X$153:X173,Loads!$B$153:B173,Loads!$B$173),0)</f>
        <v/>
      </c>
      <c r="Z173" s="3">
        <f>IF(AND(Loads!$X$173=1,Loads!$Y$173=1),Loads!$B$173,"")</f>
        <v/>
      </c>
    </row>
    <row r="174">
      <c r="A174" s="3">
        <f>Inputs!$A$245</f>
        <v/>
      </c>
      <c r="B174" s="3">
        <f>IF(Loads!$A$174=1,Inputs!$B$245&amp;"","")</f>
        <v/>
      </c>
      <c r="C174" s="3">
        <f>IF(AND(Loads!$A$174=1,Loads!$B$174&lt;&gt;""),IFERROR(INDEX(Loads!$D$125:$D$132,MATCH(Loads!$B$174,Loads!$C$125:$C$132,0))&amp;"",""),"")</f>
        <v/>
      </c>
      <c r="D174" s="3">
        <f>IF(AND(Loads!$A$174=1,Inputs!$C$245&lt;&gt;""),IFERROR(MATCH(Inputs!$C$245&amp;"",Geometry!$B$58:$B$137,0),0),0)</f>
        <v/>
      </c>
      <c r="E174" s="3">
        <f>IF(AND(Loads!$A$174=1,Inputs!$D$245&lt;&gt;""),IFERROR(MATCH(Inputs!$D$245&amp;"",Geometry!$B$58:$B$137,0),0),0)</f>
        <v/>
      </c>
      <c r="F174" s="3">
        <f>IF(AND(Loads!$A$174=1,Loads!$C$174&lt;&gt;"",Loads!$D$174&gt;0,Loads!$E$174&gt;0),1,0)</f>
        <v/>
      </c>
      <c r="G174" s="3">
        <f>IF(Loads!$F$174=1,INDEX(Geometry!$K$58:$K$137,Loads!$D$174),0)</f>
        <v/>
      </c>
      <c r="H174" s="3">
        <f>IF(Loads!$F$174=1,INDEX(Geometry!$L$58:$L$137,Loads!$D$174),0)</f>
        <v/>
      </c>
      <c r="I174" s="3">
        <f>IF(Loads!$F$174=1,INDEX(Geometry!$K$58:$K$137,Loads!$E$174),0)</f>
        <v/>
      </c>
      <c r="J174" s="3">
        <f>IF(Loads!$F$174=1,INDEX(Geometry!$L$58:$L$137,Loads!$E$174),0)</f>
        <v/>
      </c>
      <c r="K174" s="3">
        <f>SQRT((Loads!$I$174-Loads!$G$174)^2+(Loads!$J$174-Loads!$H$174)^2)</f>
        <v/>
      </c>
      <c r="L174" s="3">
        <f>IF(Loads!$K$174&lt;1E-9,0,(Loads!$I$174-Loads!$G$174)/Loads!$K$174)</f>
        <v/>
      </c>
      <c r="M174" s="3">
        <f>IF(Loads!$K$174&lt;1E-9,0,(Loads!$J$174-Loads!$H$174)/Loads!$K$174)</f>
        <v/>
      </c>
      <c r="N174" s="3">
        <f>IF(Loads!$F$174=1,Inputs!$E$245+0,0)</f>
        <v/>
      </c>
      <c r="O174" s="3">
        <f>IF(AND(Loads!$F$174=1,Loads!$C$174="fixed"),INDEX(Loads!$K$125:$K$132,MATCH(Loads!$B$174,Loads!$C$125:$C$132,0)),0)</f>
        <v/>
      </c>
      <c r="P174" s="3">
        <f>Loads!$O$174*Loads!$L$174*Loads!$N$174</f>
        <v/>
      </c>
      <c r="Q174" s="3">
        <f>Loads!$O$174*Loads!$M$174*Loads!$N$174</f>
        <v/>
      </c>
      <c r="R174" s="3">
        <f>IF(Loads!$C$174="solve",Loads!$L$174*Loads!$N$174,0)</f>
        <v/>
      </c>
      <c r="S174" s="3">
        <f>IF(Loads!$C$174="solve",Loads!$M$174*Loads!$N$174,0)</f>
        <v/>
      </c>
      <c r="T174" s="3">
        <f>IF(Loads!$F$174=1,Loads!$K$174*MAX(1,INT(Loads!$N$174)),0)</f>
        <v/>
      </c>
      <c r="U174" s="3">
        <f>IF(Loads!$F$174=1,SUMIFS(Loads!$F$139:$F$146,Loads!$C$139:$C$146,Loads!$B$174),0)</f>
        <v/>
      </c>
      <c r="V174" s="3">
        <f>Loads!$T$174*Loads!$U$174/2000</f>
        <v/>
      </c>
      <c r="W174" s="3">
        <f>IF(Loads!$F$174=1,IF(INDEX(Inputs!$K$138:$K$217,Loads!$D$174)=1,Inputs!$C$245&amp;"",IF(INDEX(Inputs!$K$138:$K$217,Loads!$E$174)=1,Inputs!$D$245&amp;"","")),"")</f>
        <v/>
      </c>
      <c r="X174" s="3">
        <f>IF(Loads!$W$174&lt;&gt;"",1,0)</f>
        <v/>
      </c>
      <c r="Y174" s="3">
        <f>IF(Loads!$X$174=1,SUMIFS(Loads!$X$153:X174,Loads!$B$153:B174,Loads!$B$174),0)</f>
        <v/>
      </c>
      <c r="Z174" s="3">
        <f>IF(AND(Loads!$X$174=1,Loads!$Y$174=1),Loads!$B$174,"")</f>
        <v/>
      </c>
    </row>
    <row r="175">
      <c r="A175" s="3">
        <f>Inputs!$A$246</f>
        <v/>
      </c>
      <c r="B175" s="3">
        <f>IF(Loads!$A$175=1,Inputs!$B$246&amp;"","")</f>
        <v/>
      </c>
      <c r="C175" s="3">
        <f>IF(AND(Loads!$A$175=1,Loads!$B$175&lt;&gt;""),IFERROR(INDEX(Loads!$D$125:$D$132,MATCH(Loads!$B$175,Loads!$C$125:$C$132,0))&amp;"",""),"")</f>
        <v/>
      </c>
      <c r="D175" s="3">
        <f>IF(AND(Loads!$A$175=1,Inputs!$C$246&lt;&gt;""),IFERROR(MATCH(Inputs!$C$246&amp;"",Geometry!$B$58:$B$137,0),0),0)</f>
        <v/>
      </c>
      <c r="E175" s="3">
        <f>IF(AND(Loads!$A$175=1,Inputs!$D$246&lt;&gt;""),IFERROR(MATCH(Inputs!$D$246&amp;"",Geometry!$B$58:$B$137,0),0),0)</f>
        <v/>
      </c>
      <c r="F175" s="3">
        <f>IF(AND(Loads!$A$175=1,Loads!$C$175&lt;&gt;"",Loads!$D$175&gt;0,Loads!$E$175&gt;0),1,0)</f>
        <v/>
      </c>
      <c r="G175" s="3">
        <f>IF(Loads!$F$175=1,INDEX(Geometry!$K$58:$K$137,Loads!$D$175),0)</f>
        <v/>
      </c>
      <c r="H175" s="3">
        <f>IF(Loads!$F$175=1,INDEX(Geometry!$L$58:$L$137,Loads!$D$175),0)</f>
        <v/>
      </c>
      <c r="I175" s="3">
        <f>IF(Loads!$F$175=1,INDEX(Geometry!$K$58:$K$137,Loads!$E$175),0)</f>
        <v/>
      </c>
      <c r="J175" s="3">
        <f>IF(Loads!$F$175=1,INDEX(Geometry!$L$58:$L$137,Loads!$E$175),0)</f>
        <v/>
      </c>
      <c r="K175" s="3">
        <f>SQRT((Loads!$I$175-Loads!$G$175)^2+(Loads!$J$175-Loads!$H$175)^2)</f>
        <v/>
      </c>
      <c r="L175" s="3">
        <f>IF(Loads!$K$175&lt;1E-9,0,(Loads!$I$175-Loads!$G$175)/Loads!$K$175)</f>
        <v/>
      </c>
      <c r="M175" s="3">
        <f>IF(Loads!$K$175&lt;1E-9,0,(Loads!$J$175-Loads!$H$175)/Loads!$K$175)</f>
        <v/>
      </c>
      <c r="N175" s="3">
        <f>IF(Loads!$F$175=1,Inputs!$E$246+0,0)</f>
        <v/>
      </c>
      <c r="O175" s="3">
        <f>IF(AND(Loads!$F$175=1,Loads!$C$175="fixed"),INDEX(Loads!$K$125:$K$132,MATCH(Loads!$B$175,Loads!$C$125:$C$132,0)),0)</f>
        <v/>
      </c>
      <c r="P175" s="3">
        <f>Loads!$O$175*Loads!$L$175*Loads!$N$175</f>
        <v/>
      </c>
      <c r="Q175" s="3">
        <f>Loads!$O$175*Loads!$M$175*Loads!$N$175</f>
        <v/>
      </c>
      <c r="R175" s="3">
        <f>IF(Loads!$C$175="solve",Loads!$L$175*Loads!$N$175,0)</f>
        <v/>
      </c>
      <c r="S175" s="3">
        <f>IF(Loads!$C$175="solve",Loads!$M$175*Loads!$N$175,0)</f>
        <v/>
      </c>
      <c r="T175" s="3">
        <f>IF(Loads!$F$175=1,Loads!$K$175*MAX(1,INT(Loads!$N$175)),0)</f>
        <v/>
      </c>
      <c r="U175" s="3">
        <f>IF(Loads!$F$175=1,SUMIFS(Loads!$F$139:$F$146,Loads!$C$139:$C$146,Loads!$B$175),0)</f>
        <v/>
      </c>
      <c r="V175" s="3">
        <f>Loads!$T$175*Loads!$U$175/2000</f>
        <v/>
      </c>
      <c r="W175" s="3">
        <f>IF(Loads!$F$175=1,IF(INDEX(Inputs!$K$138:$K$217,Loads!$D$175)=1,Inputs!$C$246&amp;"",IF(INDEX(Inputs!$K$138:$K$217,Loads!$E$175)=1,Inputs!$D$246&amp;"","")),"")</f>
        <v/>
      </c>
      <c r="X175" s="3">
        <f>IF(Loads!$W$175&lt;&gt;"",1,0)</f>
        <v/>
      </c>
      <c r="Y175" s="3">
        <f>IF(Loads!$X$175=1,SUMIFS(Loads!$X$153:X175,Loads!$B$153:B175,Loads!$B$175),0)</f>
        <v/>
      </c>
      <c r="Z175" s="3">
        <f>IF(AND(Loads!$X$175=1,Loads!$Y$175=1),Loads!$B$175,"")</f>
        <v/>
      </c>
    </row>
    <row r="176">
      <c r="A176" s="3">
        <f>Inputs!$A$247</f>
        <v/>
      </c>
      <c r="B176" s="3">
        <f>IF(Loads!$A$176=1,Inputs!$B$247&amp;"","")</f>
        <v/>
      </c>
      <c r="C176" s="3">
        <f>IF(AND(Loads!$A$176=1,Loads!$B$176&lt;&gt;""),IFERROR(INDEX(Loads!$D$125:$D$132,MATCH(Loads!$B$176,Loads!$C$125:$C$132,0))&amp;"",""),"")</f>
        <v/>
      </c>
      <c r="D176" s="3">
        <f>IF(AND(Loads!$A$176=1,Inputs!$C$247&lt;&gt;""),IFERROR(MATCH(Inputs!$C$247&amp;"",Geometry!$B$58:$B$137,0),0),0)</f>
        <v/>
      </c>
      <c r="E176" s="3">
        <f>IF(AND(Loads!$A$176=1,Inputs!$D$247&lt;&gt;""),IFERROR(MATCH(Inputs!$D$247&amp;"",Geometry!$B$58:$B$137,0),0),0)</f>
        <v/>
      </c>
      <c r="F176" s="3">
        <f>IF(AND(Loads!$A$176=1,Loads!$C$176&lt;&gt;"",Loads!$D$176&gt;0,Loads!$E$176&gt;0),1,0)</f>
        <v/>
      </c>
      <c r="G176" s="3">
        <f>IF(Loads!$F$176=1,INDEX(Geometry!$K$58:$K$137,Loads!$D$176),0)</f>
        <v/>
      </c>
      <c r="H176" s="3">
        <f>IF(Loads!$F$176=1,INDEX(Geometry!$L$58:$L$137,Loads!$D$176),0)</f>
        <v/>
      </c>
      <c r="I176" s="3">
        <f>IF(Loads!$F$176=1,INDEX(Geometry!$K$58:$K$137,Loads!$E$176),0)</f>
        <v/>
      </c>
      <c r="J176" s="3">
        <f>IF(Loads!$F$176=1,INDEX(Geometry!$L$58:$L$137,Loads!$E$176),0)</f>
        <v/>
      </c>
      <c r="K176" s="3">
        <f>SQRT((Loads!$I$176-Loads!$G$176)^2+(Loads!$J$176-Loads!$H$176)^2)</f>
        <v/>
      </c>
      <c r="L176" s="3">
        <f>IF(Loads!$K$176&lt;1E-9,0,(Loads!$I$176-Loads!$G$176)/Loads!$K$176)</f>
        <v/>
      </c>
      <c r="M176" s="3">
        <f>IF(Loads!$K$176&lt;1E-9,0,(Loads!$J$176-Loads!$H$176)/Loads!$K$176)</f>
        <v/>
      </c>
      <c r="N176" s="3">
        <f>IF(Loads!$F$176=1,Inputs!$E$247+0,0)</f>
        <v/>
      </c>
      <c r="O176" s="3">
        <f>IF(AND(Loads!$F$176=1,Loads!$C$176="fixed"),INDEX(Loads!$K$125:$K$132,MATCH(Loads!$B$176,Loads!$C$125:$C$132,0)),0)</f>
        <v/>
      </c>
      <c r="P176" s="3">
        <f>Loads!$O$176*Loads!$L$176*Loads!$N$176</f>
        <v/>
      </c>
      <c r="Q176" s="3">
        <f>Loads!$O$176*Loads!$M$176*Loads!$N$176</f>
        <v/>
      </c>
      <c r="R176" s="3">
        <f>IF(Loads!$C$176="solve",Loads!$L$176*Loads!$N$176,0)</f>
        <v/>
      </c>
      <c r="S176" s="3">
        <f>IF(Loads!$C$176="solve",Loads!$M$176*Loads!$N$176,0)</f>
        <v/>
      </c>
      <c r="T176" s="3">
        <f>IF(Loads!$F$176=1,Loads!$K$176*MAX(1,INT(Loads!$N$176)),0)</f>
        <v/>
      </c>
      <c r="U176" s="3">
        <f>IF(Loads!$F$176=1,SUMIFS(Loads!$F$139:$F$146,Loads!$C$139:$C$146,Loads!$B$176),0)</f>
        <v/>
      </c>
      <c r="V176" s="3">
        <f>Loads!$T$176*Loads!$U$176/2000</f>
        <v/>
      </c>
      <c r="W176" s="3">
        <f>IF(Loads!$F$176=1,IF(INDEX(Inputs!$K$138:$K$217,Loads!$D$176)=1,Inputs!$C$247&amp;"",IF(INDEX(Inputs!$K$138:$K$217,Loads!$E$176)=1,Inputs!$D$247&amp;"","")),"")</f>
        <v/>
      </c>
      <c r="X176" s="3">
        <f>IF(Loads!$W$176&lt;&gt;"",1,0)</f>
        <v/>
      </c>
      <c r="Y176" s="3">
        <f>IF(Loads!$X$176=1,SUMIFS(Loads!$X$153:X176,Loads!$B$153:B176,Loads!$B$176),0)</f>
        <v/>
      </c>
      <c r="Z176" s="3">
        <f>IF(AND(Loads!$X$176=1,Loads!$Y$176=1),Loads!$B$176,"")</f>
        <v/>
      </c>
    </row>
    <row r="177">
      <c r="A177" s="3">
        <f>Inputs!$A$248</f>
        <v/>
      </c>
      <c r="B177" s="3">
        <f>IF(Loads!$A$177=1,Inputs!$B$248&amp;"","")</f>
        <v/>
      </c>
      <c r="C177" s="3">
        <f>IF(AND(Loads!$A$177=1,Loads!$B$177&lt;&gt;""),IFERROR(INDEX(Loads!$D$125:$D$132,MATCH(Loads!$B$177,Loads!$C$125:$C$132,0))&amp;"",""),"")</f>
        <v/>
      </c>
      <c r="D177" s="3">
        <f>IF(AND(Loads!$A$177=1,Inputs!$C$248&lt;&gt;""),IFERROR(MATCH(Inputs!$C$248&amp;"",Geometry!$B$58:$B$137,0),0),0)</f>
        <v/>
      </c>
      <c r="E177" s="3">
        <f>IF(AND(Loads!$A$177=1,Inputs!$D$248&lt;&gt;""),IFERROR(MATCH(Inputs!$D$248&amp;"",Geometry!$B$58:$B$137,0),0),0)</f>
        <v/>
      </c>
      <c r="F177" s="3">
        <f>IF(AND(Loads!$A$177=1,Loads!$C$177&lt;&gt;"",Loads!$D$177&gt;0,Loads!$E$177&gt;0),1,0)</f>
        <v/>
      </c>
      <c r="G177" s="3">
        <f>IF(Loads!$F$177=1,INDEX(Geometry!$K$58:$K$137,Loads!$D$177),0)</f>
        <v/>
      </c>
      <c r="H177" s="3">
        <f>IF(Loads!$F$177=1,INDEX(Geometry!$L$58:$L$137,Loads!$D$177),0)</f>
        <v/>
      </c>
      <c r="I177" s="3">
        <f>IF(Loads!$F$177=1,INDEX(Geometry!$K$58:$K$137,Loads!$E$177),0)</f>
        <v/>
      </c>
      <c r="J177" s="3">
        <f>IF(Loads!$F$177=1,INDEX(Geometry!$L$58:$L$137,Loads!$E$177),0)</f>
        <v/>
      </c>
      <c r="K177" s="3">
        <f>SQRT((Loads!$I$177-Loads!$G$177)^2+(Loads!$J$177-Loads!$H$177)^2)</f>
        <v/>
      </c>
      <c r="L177" s="3">
        <f>IF(Loads!$K$177&lt;1E-9,0,(Loads!$I$177-Loads!$G$177)/Loads!$K$177)</f>
        <v/>
      </c>
      <c r="M177" s="3">
        <f>IF(Loads!$K$177&lt;1E-9,0,(Loads!$J$177-Loads!$H$177)/Loads!$K$177)</f>
        <v/>
      </c>
      <c r="N177" s="3">
        <f>IF(Loads!$F$177=1,Inputs!$E$248+0,0)</f>
        <v/>
      </c>
      <c r="O177" s="3">
        <f>IF(AND(Loads!$F$177=1,Loads!$C$177="fixed"),INDEX(Loads!$K$125:$K$132,MATCH(Loads!$B$177,Loads!$C$125:$C$132,0)),0)</f>
        <v/>
      </c>
      <c r="P177" s="3">
        <f>Loads!$O$177*Loads!$L$177*Loads!$N$177</f>
        <v/>
      </c>
      <c r="Q177" s="3">
        <f>Loads!$O$177*Loads!$M$177*Loads!$N$177</f>
        <v/>
      </c>
      <c r="R177" s="3">
        <f>IF(Loads!$C$177="solve",Loads!$L$177*Loads!$N$177,0)</f>
        <v/>
      </c>
      <c r="S177" s="3">
        <f>IF(Loads!$C$177="solve",Loads!$M$177*Loads!$N$177,0)</f>
        <v/>
      </c>
      <c r="T177" s="3">
        <f>IF(Loads!$F$177=1,Loads!$K$177*MAX(1,INT(Loads!$N$177)),0)</f>
        <v/>
      </c>
      <c r="U177" s="3">
        <f>IF(Loads!$F$177=1,SUMIFS(Loads!$F$139:$F$146,Loads!$C$139:$C$146,Loads!$B$177),0)</f>
        <v/>
      </c>
      <c r="V177" s="3">
        <f>Loads!$T$177*Loads!$U$177/2000</f>
        <v/>
      </c>
      <c r="W177" s="3">
        <f>IF(Loads!$F$177=1,IF(INDEX(Inputs!$K$138:$K$217,Loads!$D$177)=1,Inputs!$C$248&amp;"",IF(INDEX(Inputs!$K$138:$K$217,Loads!$E$177)=1,Inputs!$D$248&amp;"","")),"")</f>
        <v/>
      </c>
      <c r="X177" s="3">
        <f>IF(Loads!$W$177&lt;&gt;"",1,0)</f>
        <v/>
      </c>
      <c r="Y177" s="3">
        <f>IF(Loads!$X$177=1,SUMIFS(Loads!$X$153:X177,Loads!$B$153:B177,Loads!$B$177),0)</f>
        <v/>
      </c>
      <c r="Z177" s="3">
        <f>IF(AND(Loads!$X$177=1,Loads!$Y$177=1),Loads!$B$177,"")</f>
        <v/>
      </c>
    </row>
    <row r="178">
      <c r="A178" s="3">
        <f>Inputs!$A$249</f>
        <v/>
      </c>
      <c r="B178" s="3">
        <f>IF(Loads!$A$178=1,Inputs!$B$249&amp;"","")</f>
        <v/>
      </c>
      <c r="C178" s="3">
        <f>IF(AND(Loads!$A$178=1,Loads!$B$178&lt;&gt;""),IFERROR(INDEX(Loads!$D$125:$D$132,MATCH(Loads!$B$178,Loads!$C$125:$C$132,0))&amp;"",""),"")</f>
        <v/>
      </c>
      <c r="D178" s="3">
        <f>IF(AND(Loads!$A$178=1,Inputs!$C$249&lt;&gt;""),IFERROR(MATCH(Inputs!$C$249&amp;"",Geometry!$B$58:$B$137,0),0),0)</f>
        <v/>
      </c>
      <c r="E178" s="3">
        <f>IF(AND(Loads!$A$178=1,Inputs!$D$249&lt;&gt;""),IFERROR(MATCH(Inputs!$D$249&amp;"",Geometry!$B$58:$B$137,0),0),0)</f>
        <v/>
      </c>
      <c r="F178" s="3">
        <f>IF(AND(Loads!$A$178=1,Loads!$C$178&lt;&gt;"",Loads!$D$178&gt;0,Loads!$E$178&gt;0),1,0)</f>
        <v/>
      </c>
      <c r="G178" s="3">
        <f>IF(Loads!$F$178=1,INDEX(Geometry!$K$58:$K$137,Loads!$D$178),0)</f>
        <v/>
      </c>
      <c r="H178" s="3">
        <f>IF(Loads!$F$178=1,INDEX(Geometry!$L$58:$L$137,Loads!$D$178),0)</f>
        <v/>
      </c>
      <c r="I178" s="3">
        <f>IF(Loads!$F$178=1,INDEX(Geometry!$K$58:$K$137,Loads!$E$178),0)</f>
        <v/>
      </c>
      <c r="J178" s="3">
        <f>IF(Loads!$F$178=1,INDEX(Geometry!$L$58:$L$137,Loads!$E$178),0)</f>
        <v/>
      </c>
      <c r="K178" s="3">
        <f>SQRT((Loads!$I$178-Loads!$G$178)^2+(Loads!$J$178-Loads!$H$178)^2)</f>
        <v/>
      </c>
      <c r="L178" s="3">
        <f>IF(Loads!$K$178&lt;1E-9,0,(Loads!$I$178-Loads!$G$178)/Loads!$K$178)</f>
        <v/>
      </c>
      <c r="M178" s="3">
        <f>IF(Loads!$K$178&lt;1E-9,0,(Loads!$J$178-Loads!$H$178)/Loads!$K$178)</f>
        <v/>
      </c>
      <c r="N178" s="3">
        <f>IF(Loads!$F$178=1,Inputs!$E$249+0,0)</f>
        <v/>
      </c>
      <c r="O178" s="3">
        <f>IF(AND(Loads!$F$178=1,Loads!$C$178="fixed"),INDEX(Loads!$K$125:$K$132,MATCH(Loads!$B$178,Loads!$C$125:$C$132,0)),0)</f>
        <v/>
      </c>
      <c r="P178" s="3">
        <f>Loads!$O$178*Loads!$L$178*Loads!$N$178</f>
        <v/>
      </c>
      <c r="Q178" s="3">
        <f>Loads!$O$178*Loads!$M$178*Loads!$N$178</f>
        <v/>
      </c>
      <c r="R178" s="3">
        <f>IF(Loads!$C$178="solve",Loads!$L$178*Loads!$N$178,0)</f>
        <v/>
      </c>
      <c r="S178" s="3">
        <f>IF(Loads!$C$178="solve",Loads!$M$178*Loads!$N$178,0)</f>
        <v/>
      </c>
      <c r="T178" s="3">
        <f>IF(Loads!$F$178=1,Loads!$K$178*MAX(1,INT(Loads!$N$178)),0)</f>
        <v/>
      </c>
      <c r="U178" s="3">
        <f>IF(Loads!$F$178=1,SUMIFS(Loads!$F$139:$F$146,Loads!$C$139:$C$146,Loads!$B$178),0)</f>
        <v/>
      </c>
      <c r="V178" s="3">
        <f>Loads!$T$178*Loads!$U$178/2000</f>
        <v/>
      </c>
      <c r="W178" s="3">
        <f>IF(Loads!$F$178=1,IF(INDEX(Inputs!$K$138:$K$217,Loads!$D$178)=1,Inputs!$C$249&amp;"",IF(INDEX(Inputs!$K$138:$K$217,Loads!$E$178)=1,Inputs!$D$249&amp;"","")),"")</f>
        <v/>
      </c>
      <c r="X178" s="3">
        <f>IF(Loads!$W$178&lt;&gt;"",1,0)</f>
        <v/>
      </c>
      <c r="Y178" s="3">
        <f>IF(Loads!$X$178=1,SUMIFS(Loads!$X$153:X178,Loads!$B$153:B178,Loads!$B$178),0)</f>
        <v/>
      </c>
      <c r="Z178" s="3">
        <f>IF(AND(Loads!$X$178=1,Loads!$Y$178=1),Loads!$B$178,"")</f>
        <v/>
      </c>
    </row>
    <row r="179">
      <c r="A179" s="3">
        <f>Inputs!$A$250</f>
        <v/>
      </c>
      <c r="B179" s="3">
        <f>IF(Loads!$A$179=1,Inputs!$B$250&amp;"","")</f>
        <v/>
      </c>
      <c r="C179" s="3">
        <f>IF(AND(Loads!$A$179=1,Loads!$B$179&lt;&gt;""),IFERROR(INDEX(Loads!$D$125:$D$132,MATCH(Loads!$B$179,Loads!$C$125:$C$132,0))&amp;"",""),"")</f>
        <v/>
      </c>
      <c r="D179" s="3">
        <f>IF(AND(Loads!$A$179=1,Inputs!$C$250&lt;&gt;""),IFERROR(MATCH(Inputs!$C$250&amp;"",Geometry!$B$58:$B$137,0),0),0)</f>
        <v/>
      </c>
      <c r="E179" s="3">
        <f>IF(AND(Loads!$A$179=1,Inputs!$D$250&lt;&gt;""),IFERROR(MATCH(Inputs!$D$250&amp;"",Geometry!$B$58:$B$137,0),0),0)</f>
        <v/>
      </c>
      <c r="F179" s="3">
        <f>IF(AND(Loads!$A$179=1,Loads!$C$179&lt;&gt;"",Loads!$D$179&gt;0,Loads!$E$179&gt;0),1,0)</f>
        <v/>
      </c>
      <c r="G179" s="3">
        <f>IF(Loads!$F$179=1,INDEX(Geometry!$K$58:$K$137,Loads!$D$179),0)</f>
        <v/>
      </c>
      <c r="H179" s="3">
        <f>IF(Loads!$F$179=1,INDEX(Geometry!$L$58:$L$137,Loads!$D$179),0)</f>
        <v/>
      </c>
      <c r="I179" s="3">
        <f>IF(Loads!$F$179=1,INDEX(Geometry!$K$58:$K$137,Loads!$E$179),0)</f>
        <v/>
      </c>
      <c r="J179" s="3">
        <f>IF(Loads!$F$179=1,INDEX(Geometry!$L$58:$L$137,Loads!$E$179),0)</f>
        <v/>
      </c>
      <c r="K179" s="3">
        <f>SQRT((Loads!$I$179-Loads!$G$179)^2+(Loads!$J$179-Loads!$H$179)^2)</f>
        <v/>
      </c>
      <c r="L179" s="3">
        <f>IF(Loads!$K$179&lt;1E-9,0,(Loads!$I$179-Loads!$G$179)/Loads!$K$179)</f>
        <v/>
      </c>
      <c r="M179" s="3">
        <f>IF(Loads!$K$179&lt;1E-9,0,(Loads!$J$179-Loads!$H$179)/Loads!$K$179)</f>
        <v/>
      </c>
      <c r="N179" s="3">
        <f>IF(Loads!$F$179=1,Inputs!$E$250+0,0)</f>
        <v/>
      </c>
      <c r="O179" s="3">
        <f>IF(AND(Loads!$F$179=1,Loads!$C$179="fixed"),INDEX(Loads!$K$125:$K$132,MATCH(Loads!$B$179,Loads!$C$125:$C$132,0)),0)</f>
        <v/>
      </c>
      <c r="P179" s="3">
        <f>Loads!$O$179*Loads!$L$179*Loads!$N$179</f>
        <v/>
      </c>
      <c r="Q179" s="3">
        <f>Loads!$O$179*Loads!$M$179*Loads!$N$179</f>
        <v/>
      </c>
      <c r="R179" s="3">
        <f>IF(Loads!$C$179="solve",Loads!$L$179*Loads!$N$179,0)</f>
        <v/>
      </c>
      <c r="S179" s="3">
        <f>IF(Loads!$C$179="solve",Loads!$M$179*Loads!$N$179,0)</f>
        <v/>
      </c>
      <c r="T179" s="3">
        <f>IF(Loads!$F$179=1,Loads!$K$179*MAX(1,INT(Loads!$N$179)),0)</f>
        <v/>
      </c>
      <c r="U179" s="3">
        <f>IF(Loads!$F$179=1,SUMIFS(Loads!$F$139:$F$146,Loads!$C$139:$C$146,Loads!$B$179),0)</f>
        <v/>
      </c>
      <c r="V179" s="3">
        <f>Loads!$T$179*Loads!$U$179/2000</f>
        <v/>
      </c>
      <c r="W179" s="3">
        <f>IF(Loads!$F$179=1,IF(INDEX(Inputs!$K$138:$K$217,Loads!$D$179)=1,Inputs!$C$250&amp;"",IF(INDEX(Inputs!$K$138:$K$217,Loads!$E$179)=1,Inputs!$D$250&amp;"","")),"")</f>
        <v/>
      </c>
      <c r="X179" s="3">
        <f>IF(Loads!$W$179&lt;&gt;"",1,0)</f>
        <v/>
      </c>
      <c r="Y179" s="3">
        <f>IF(Loads!$X$179=1,SUMIFS(Loads!$X$153:X179,Loads!$B$153:B179,Loads!$B$179),0)</f>
        <v/>
      </c>
      <c r="Z179" s="3">
        <f>IF(AND(Loads!$X$179=1,Loads!$Y$179=1),Loads!$B$179,"")</f>
        <v/>
      </c>
    </row>
    <row r="180">
      <c r="A180" s="3">
        <f>Inputs!$A$251</f>
        <v/>
      </c>
      <c r="B180" s="3">
        <f>IF(Loads!$A$180=1,Inputs!$B$251&amp;"","")</f>
        <v/>
      </c>
      <c r="C180" s="3">
        <f>IF(AND(Loads!$A$180=1,Loads!$B$180&lt;&gt;""),IFERROR(INDEX(Loads!$D$125:$D$132,MATCH(Loads!$B$180,Loads!$C$125:$C$132,0))&amp;"",""),"")</f>
        <v/>
      </c>
      <c r="D180" s="3">
        <f>IF(AND(Loads!$A$180=1,Inputs!$C$251&lt;&gt;""),IFERROR(MATCH(Inputs!$C$251&amp;"",Geometry!$B$58:$B$137,0),0),0)</f>
        <v/>
      </c>
      <c r="E180" s="3">
        <f>IF(AND(Loads!$A$180=1,Inputs!$D$251&lt;&gt;""),IFERROR(MATCH(Inputs!$D$251&amp;"",Geometry!$B$58:$B$137,0),0),0)</f>
        <v/>
      </c>
      <c r="F180" s="3">
        <f>IF(AND(Loads!$A$180=1,Loads!$C$180&lt;&gt;"",Loads!$D$180&gt;0,Loads!$E$180&gt;0),1,0)</f>
        <v/>
      </c>
      <c r="G180" s="3">
        <f>IF(Loads!$F$180=1,INDEX(Geometry!$K$58:$K$137,Loads!$D$180),0)</f>
        <v/>
      </c>
      <c r="H180" s="3">
        <f>IF(Loads!$F$180=1,INDEX(Geometry!$L$58:$L$137,Loads!$D$180),0)</f>
        <v/>
      </c>
      <c r="I180" s="3">
        <f>IF(Loads!$F$180=1,INDEX(Geometry!$K$58:$K$137,Loads!$E$180),0)</f>
        <v/>
      </c>
      <c r="J180" s="3">
        <f>IF(Loads!$F$180=1,INDEX(Geometry!$L$58:$L$137,Loads!$E$180),0)</f>
        <v/>
      </c>
      <c r="K180" s="3">
        <f>SQRT((Loads!$I$180-Loads!$G$180)^2+(Loads!$J$180-Loads!$H$180)^2)</f>
        <v/>
      </c>
      <c r="L180" s="3">
        <f>IF(Loads!$K$180&lt;1E-9,0,(Loads!$I$180-Loads!$G$180)/Loads!$K$180)</f>
        <v/>
      </c>
      <c r="M180" s="3">
        <f>IF(Loads!$K$180&lt;1E-9,0,(Loads!$J$180-Loads!$H$180)/Loads!$K$180)</f>
        <v/>
      </c>
      <c r="N180" s="3">
        <f>IF(Loads!$F$180=1,Inputs!$E$251+0,0)</f>
        <v/>
      </c>
      <c r="O180" s="3">
        <f>IF(AND(Loads!$F$180=1,Loads!$C$180="fixed"),INDEX(Loads!$K$125:$K$132,MATCH(Loads!$B$180,Loads!$C$125:$C$132,0)),0)</f>
        <v/>
      </c>
      <c r="P180" s="3">
        <f>Loads!$O$180*Loads!$L$180*Loads!$N$180</f>
        <v/>
      </c>
      <c r="Q180" s="3">
        <f>Loads!$O$180*Loads!$M$180*Loads!$N$180</f>
        <v/>
      </c>
      <c r="R180" s="3">
        <f>IF(Loads!$C$180="solve",Loads!$L$180*Loads!$N$180,0)</f>
        <v/>
      </c>
      <c r="S180" s="3">
        <f>IF(Loads!$C$180="solve",Loads!$M$180*Loads!$N$180,0)</f>
        <v/>
      </c>
      <c r="T180" s="3">
        <f>IF(Loads!$F$180=1,Loads!$K$180*MAX(1,INT(Loads!$N$180)),0)</f>
        <v/>
      </c>
      <c r="U180" s="3">
        <f>IF(Loads!$F$180=1,SUMIFS(Loads!$F$139:$F$146,Loads!$C$139:$C$146,Loads!$B$180),0)</f>
        <v/>
      </c>
      <c r="V180" s="3">
        <f>Loads!$T$180*Loads!$U$180/2000</f>
        <v/>
      </c>
      <c r="W180" s="3">
        <f>IF(Loads!$F$180=1,IF(INDEX(Inputs!$K$138:$K$217,Loads!$D$180)=1,Inputs!$C$251&amp;"",IF(INDEX(Inputs!$K$138:$K$217,Loads!$E$180)=1,Inputs!$D$251&amp;"","")),"")</f>
        <v/>
      </c>
      <c r="X180" s="3">
        <f>IF(Loads!$W$180&lt;&gt;"",1,0)</f>
        <v/>
      </c>
      <c r="Y180" s="3">
        <f>IF(Loads!$X$180=1,SUMIFS(Loads!$X$153:X180,Loads!$B$153:B180,Loads!$B$180),0)</f>
        <v/>
      </c>
      <c r="Z180" s="3">
        <f>IF(AND(Loads!$X$180=1,Loads!$Y$180=1),Loads!$B$180,"")</f>
        <v/>
      </c>
    </row>
    <row r="181">
      <c r="A181" s="3">
        <f>Inputs!$A$252</f>
        <v/>
      </c>
      <c r="B181" s="3">
        <f>IF(Loads!$A$181=1,Inputs!$B$252&amp;"","")</f>
        <v/>
      </c>
      <c r="C181" s="3">
        <f>IF(AND(Loads!$A$181=1,Loads!$B$181&lt;&gt;""),IFERROR(INDEX(Loads!$D$125:$D$132,MATCH(Loads!$B$181,Loads!$C$125:$C$132,0))&amp;"",""),"")</f>
        <v/>
      </c>
      <c r="D181" s="3">
        <f>IF(AND(Loads!$A$181=1,Inputs!$C$252&lt;&gt;""),IFERROR(MATCH(Inputs!$C$252&amp;"",Geometry!$B$58:$B$137,0),0),0)</f>
        <v/>
      </c>
      <c r="E181" s="3">
        <f>IF(AND(Loads!$A$181=1,Inputs!$D$252&lt;&gt;""),IFERROR(MATCH(Inputs!$D$252&amp;"",Geometry!$B$58:$B$137,0),0),0)</f>
        <v/>
      </c>
      <c r="F181" s="3">
        <f>IF(AND(Loads!$A$181=1,Loads!$C$181&lt;&gt;"",Loads!$D$181&gt;0,Loads!$E$181&gt;0),1,0)</f>
        <v/>
      </c>
      <c r="G181" s="3">
        <f>IF(Loads!$F$181=1,INDEX(Geometry!$K$58:$K$137,Loads!$D$181),0)</f>
        <v/>
      </c>
      <c r="H181" s="3">
        <f>IF(Loads!$F$181=1,INDEX(Geometry!$L$58:$L$137,Loads!$D$181),0)</f>
        <v/>
      </c>
      <c r="I181" s="3">
        <f>IF(Loads!$F$181=1,INDEX(Geometry!$K$58:$K$137,Loads!$E$181),0)</f>
        <v/>
      </c>
      <c r="J181" s="3">
        <f>IF(Loads!$F$181=1,INDEX(Geometry!$L$58:$L$137,Loads!$E$181),0)</f>
        <v/>
      </c>
      <c r="K181" s="3">
        <f>SQRT((Loads!$I$181-Loads!$G$181)^2+(Loads!$J$181-Loads!$H$181)^2)</f>
        <v/>
      </c>
      <c r="L181" s="3">
        <f>IF(Loads!$K$181&lt;1E-9,0,(Loads!$I$181-Loads!$G$181)/Loads!$K$181)</f>
        <v/>
      </c>
      <c r="M181" s="3">
        <f>IF(Loads!$K$181&lt;1E-9,0,(Loads!$J$181-Loads!$H$181)/Loads!$K$181)</f>
        <v/>
      </c>
      <c r="N181" s="3">
        <f>IF(Loads!$F$181=1,Inputs!$E$252+0,0)</f>
        <v/>
      </c>
      <c r="O181" s="3">
        <f>IF(AND(Loads!$F$181=1,Loads!$C$181="fixed"),INDEX(Loads!$K$125:$K$132,MATCH(Loads!$B$181,Loads!$C$125:$C$132,0)),0)</f>
        <v/>
      </c>
      <c r="P181" s="3">
        <f>Loads!$O$181*Loads!$L$181*Loads!$N$181</f>
        <v/>
      </c>
      <c r="Q181" s="3">
        <f>Loads!$O$181*Loads!$M$181*Loads!$N$181</f>
        <v/>
      </c>
      <c r="R181" s="3">
        <f>IF(Loads!$C$181="solve",Loads!$L$181*Loads!$N$181,0)</f>
        <v/>
      </c>
      <c r="S181" s="3">
        <f>IF(Loads!$C$181="solve",Loads!$M$181*Loads!$N$181,0)</f>
        <v/>
      </c>
      <c r="T181" s="3">
        <f>IF(Loads!$F$181=1,Loads!$K$181*MAX(1,INT(Loads!$N$181)),0)</f>
        <v/>
      </c>
      <c r="U181" s="3">
        <f>IF(Loads!$F$181=1,SUMIFS(Loads!$F$139:$F$146,Loads!$C$139:$C$146,Loads!$B$181),0)</f>
        <v/>
      </c>
      <c r="V181" s="3">
        <f>Loads!$T$181*Loads!$U$181/2000</f>
        <v/>
      </c>
      <c r="W181" s="3">
        <f>IF(Loads!$F$181=1,IF(INDEX(Inputs!$K$138:$K$217,Loads!$D$181)=1,Inputs!$C$252&amp;"",IF(INDEX(Inputs!$K$138:$K$217,Loads!$E$181)=1,Inputs!$D$252&amp;"","")),"")</f>
        <v/>
      </c>
      <c r="X181" s="3">
        <f>IF(Loads!$W$181&lt;&gt;"",1,0)</f>
        <v/>
      </c>
      <c r="Y181" s="3">
        <f>IF(Loads!$X$181=1,SUMIFS(Loads!$X$153:X181,Loads!$B$153:B181,Loads!$B$181),0)</f>
        <v/>
      </c>
      <c r="Z181" s="3">
        <f>IF(AND(Loads!$X$181=1,Loads!$Y$181=1),Loads!$B$181,"")</f>
        <v/>
      </c>
    </row>
    <row r="182">
      <c r="A182" s="3">
        <f>Inputs!$A$253</f>
        <v/>
      </c>
      <c r="B182" s="3">
        <f>IF(Loads!$A$182=1,Inputs!$B$253&amp;"","")</f>
        <v/>
      </c>
      <c r="C182" s="3">
        <f>IF(AND(Loads!$A$182=1,Loads!$B$182&lt;&gt;""),IFERROR(INDEX(Loads!$D$125:$D$132,MATCH(Loads!$B$182,Loads!$C$125:$C$132,0))&amp;"",""),"")</f>
        <v/>
      </c>
      <c r="D182" s="3">
        <f>IF(AND(Loads!$A$182=1,Inputs!$C$253&lt;&gt;""),IFERROR(MATCH(Inputs!$C$253&amp;"",Geometry!$B$58:$B$137,0),0),0)</f>
        <v/>
      </c>
      <c r="E182" s="3">
        <f>IF(AND(Loads!$A$182=1,Inputs!$D$253&lt;&gt;""),IFERROR(MATCH(Inputs!$D$253&amp;"",Geometry!$B$58:$B$137,0),0),0)</f>
        <v/>
      </c>
      <c r="F182" s="3">
        <f>IF(AND(Loads!$A$182=1,Loads!$C$182&lt;&gt;"",Loads!$D$182&gt;0,Loads!$E$182&gt;0),1,0)</f>
        <v/>
      </c>
      <c r="G182" s="3">
        <f>IF(Loads!$F$182=1,INDEX(Geometry!$K$58:$K$137,Loads!$D$182),0)</f>
        <v/>
      </c>
      <c r="H182" s="3">
        <f>IF(Loads!$F$182=1,INDEX(Geometry!$L$58:$L$137,Loads!$D$182),0)</f>
        <v/>
      </c>
      <c r="I182" s="3">
        <f>IF(Loads!$F$182=1,INDEX(Geometry!$K$58:$K$137,Loads!$E$182),0)</f>
        <v/>
      </c>
      <c r="J182" s="3">
        <f>IF(Loads!$F$182=1,INDEX(Geometry!$L$58:$L$137,Loads!$E$182),0)</f>
        <v/>
      </c>
      <c r="K182" s="3">
        <f>SQRT((Loads!$I$182-Loads!$G$182)^2+(Loads!$J$182-Loads!$H$182)^2)</f>
        <v/>
      </c>
      <c r="L182" s="3">
        <f>IF(Loads!$K$182&lt;1E-9,0,(Loads!$I$182-Loads!$G$182)/Loads!$K$182)</f>
        <v/>
      </c>
      <c r="M182" s="3">
        <f>IF(Loads!$K$182&lt;1E-9,0,(Loads!$J$182-Loads!$H$182)/Loads!$K$182)</f>
        <v/>
      </c>
      <c r="N182" s="3">
        <f>IF(Loads!$F$182=1,Inputs!$E$253+0,0)</f>
        <v/>
      </c>
      <c r="O182" s="3">
        <f>IF(AND(Loads!$F$182=1,Loads!$C$182="fixed"),INDEX(Loads!$K$125:$K$132,MATCH(Loads!$B$182,Loads!$C$125:$C$132,0)),0)</f>
        <v/>
      </c>
      <c r="P182" s="3">
        <f>Loads!$O$182*Loads!$L$182*Loads!$N$182</f>
        <v/>
      </c>
      <c r="Q182" s="3">
        <f>Loads!$O$182*Loads!$M$182*Loads!$N$182</f>
        <v/>
      </c>
      <c r="R182" s="3">
        <f>IF(Loads!$C$182="solve",Loads!$L$182*Loads!$N$182,0)</f>
        <v/>
      </c>
      <c r="S182" s="3">
        <f>IF(Loads!$C$182="solve",Loads!$M$182*Loads!$N$182,0)</f>
        <v/>
      </c>
      <c r="T182" s="3">
        <f>IF(Loads!$F$182=1,Loads!$K$182*MAX(1,INT(Loads!$N$182)),0)</f>
        <v/>
      </c>
      <c r="U182" s="3">
        <f>IF(Loads!$F$182=1,SUMIFS(Loads!$F$139:$F$146,Loads!$C$139:$C$146,Loads!$B$182),0)</f>
        <v/>
      </c>
      <c r="V182" s="3">
        <f>Loads!$T$182*Loads!$U$182/2000</f>
        <v/>
      </c>
      <c r="W182" s="3">
        <f>IF(Loads!$F$182=1,IF(INDEX(Inputs!$K$138:$K$217,Loads!$D$182)=1,Inputs!$C$253&amp;"",IF(INDEX(Inputs!$K$138:$K$217,Loads!$E$182)=1,Inputs!$D$253&amp;"","")),"")</f>
        <v/>
      </c>
      <c r="X182" s="3">
        <f>IF(Loads!$W$182&lt;&gt;"",1,0)</f>
        <v/>
      </c>
      <c r="Y182" s="3">
        <f>IF(Loads!$X$182=1,SUMIFS(Loads!$X$153:X182,Loads!$B$153:B182,Loads!$B$182),0)</f>
        <v/>
      </c>
      <c r="Z182" s="3">
        <f>IF(AND(Loads!$X$182=1,Loads!$Y$182=1),Loads!$B$182,"")</f>
        <v/>
      </c>
    </row>
    <row r="183">
      <c r="A183" s="3">
        <f>Inputs!$A$254</f>
        <v/>
      </c>
      <c r="B183" s="3">
        <f>IF(Loads!$A$183=1,Inputs!$B$254&amp;"","")</f>
        <v/>
      </c>
      <c r="C183" s="3">
        <f>IF(AND(Loads!$A$183=1,Loads!$B$183&lt;&gt;""),IFERROR(INDEX(Loads!$D$125:$D$132,MATCH(Loads!$B$183,Loads!$C$125:$C$132,0))&amp;"",""),"")</f>
        <v/>
      </c>
      <c r="D183" s="3">
        <f>IF(AND(Loads!$A$183=1,Inputs!$C$254&lt;&gt;""),IFERROR(MATCH(Inputs!$C$254&amp;"",Geometry!$B$58:$B$137,0),0),0)</f>
        <v/>
      </c>
      <c r="E183" s="3">
        <f>IF(AND(Loads!$A$183=1,Inputs!$D$254&lt;&gt;""),IFERROR(MATCH(Inputs!$D$254&amp;"",Geometry!$B$58:$B$137,0),0),0)</f>
        <v/>
      </c>
      <c r="F183" s="3">
        <f>IF(AND(Loads!$A$183=1,Loads!$C$183&lt;&gt;"",Loads!$D$183&gt;0,Loads!$E$183&gt;0),1,0)</f>
        <v/>
      </c>
      <c r="G183" s="3">
        <f>IF(Loads!$F$183=1,INDEX(Geometry!$K$58:$K$137,Loads!$D$183),0)</f>
        <v/>
      </c>
      <c r="H183" s="3">
        <f>IF(Loads!$F$183=1,INDEX(Geometry!$L$58:$L$137,Loads!$D$183),0)</f>
        <v/>
      </c>
      <c r="I183" s="3">
        <f>IF(Loads!$F$183=1,INDEX(Geometry!$K$58:$K$137,Loads!$E$183),0)</f>
        <v/>
      </c>
      <c r="J183" s="3">
        <f>IF(Loads!$F$183=1,INDEX(Geometry!$L$58:$L$137,Loads!$E$183),0)</f>
        <v/>
      </c>
      <c r="K183" s="3">
        <f>SQRT((Loads!$I$183-Loads!$G$183)^2+(Loads!$J$183-Loads!$H$183)^2)</f>
        <v/>
      </c>
      <c r="L183" s="3">
        <f>IF(Loads!$K$183&lt;1E-9,0,(Loads!$I$183-Loads!$G$183)/Loads!$K$183)</f>
        <v/>
      </c>
      <c r="M183" s="3">
        <f>IF(Loads!$K$183&lt;1E-9,0,(Loads!$J$183-Loads!$H$183)/Loads!$K$183)</f>
        <v/>
      </c>
      <c r="N183" s="3">
        <f>IF(Loads!$F$183=1,Inputs!$E$254+0,0)</f>
        <v/>
      </c>
      <c r="O183" s="3">
        <f>IF(AND(Loads!$F$183=1,Loads!$C$183="fixed"),INDEX(Loads!$K$125:$K$132,MATCH(Loads!$B$183,Loads!$C$125:$C$132,0)),0)</f>
        <v/>
      </c>
      <c r="P183" s="3">
        <f>Loads!$O$183*Loads!$L$183*Loads!$N$183</f>
        <v/>
      </c>
      <c r="Q183" s="3">
        <f>Loads!$O$183*Loads!$M$183*Loads!$N$183</f>
        <v/>
      </c>
      <c r="R183" s="3">
        <f>IF(Loads!$C$183="solve",Loads!$L$183*Loads!$N$183,0)</f>
        <v/>
      </c>
      <c r="S183" s="3">
        <f>IF(Loads!$C$183="solve",Loads!$M$183*Loads!$N$183,0)</f>
        <v/>
      </c>
      <c r="T183" s="3">
        <f>IF(Loads!$F$183=1,Loads!$K$183*MAX(1,INT(Loads!$N$183)),0)</f>
        <v/>
      </c>
      <c r="U183" s="3">
        <f>IF(Loads!$F$183=1,SUMIFS(Loads!$F$139:$F$146,Loads!$C$139:$C$146,Loads!$B$183),0)</f>
        <v/>
      </c>
      <c r="V183" s="3">
        <f>Loads!$T$183*Loads!$U$183/2000</f>
        <v/>
      </c>
      <c r="W183" s="3">
        <f>IF(Loads!$F$183=1,IF(INDEX(Inputs!$K$138:$K$217,Loads!$D$183)=1,Inputs!$C$254&amp;"",IF(INDEX(Inputs!$K$138:$K$217,Loads!$E$183)=1,Inputs!$D$254&amp;"","")),"")</f>
        <v/>
      </c>
      <c r="X183" s="3">
        <f>IF(Loads!$W$183&lt;&gt;"",1,0)</f>
        <v/>
      </c>
      <c r="Y183" s="3">
        <f>IF(Loads!$X$183=1,SUMIFS(Loads!$X$153:X183,Loads!$B$153:B183,Loads!$B$183),0)</f>
        <v/>
      </c>
      <c r="Z183" s="3">
        <f>IF(AND(Loads!$X$183=1,Loads!$Y$183=1),Loads!$B$183,"")</f>
        <v/>
      </c>
    </row>
    <row r="184">
      <c r="A184" s="3">
        <f>Inputs!$A$255</f>
        <v/>
      </c>
      <c r="B184" s="3">
        <f>IF(Loads!$A$184=1,Inputs!$B$255&amp;"","")</f>
        <v/>
      </c>
      <c r="C184" s="3">
        <f>IF(AND(Loads!$A$184=1,Loads!$B$184&lt;&gt;""),IFERROR(INDEX(Loads!$D$125:$D$132,MATCH(Loads!$B$184,Loads!$C$125:$C$132,0))&amp;"",""),"")</f>
        <v/>
      </c>
      <c r="D184" s="3">
        <f>IF(AND(Loads!$A$184=1,Inputs!$C$255&lt;&gt;""),IFERROR(MATCH(Inputs!$C$255&amp;"",Geometry!$B$58:$B$137,0),0),0)</f>
        <v/>
      </c>
      <c r="E184" s="3">
        <f>IF(AND(Loads!$A$184=1,Inputs!$D$255&lt;&gt;""),IFERROR(MATCH(Inputs!$D$255&amp;"",Geometry!$B$58:$B$137,0),0),0)</f>
        <v/>
      </c>
      <c r="F184" s="3">
        <f>IF(AND(Loads!$A$184=1,Loads!$C$184&lt;&gt;"",Loads!$D$184&gt;0,Loads!$E$184&gt;0),1,0)</f>
        <v/>
      </c>
      <c r="G184" s="3">
        <f>IF(Loads!$F$184=1,INDEX(Geometry!$K$58:$K$137,Loads!$D$184),0)</f>
        <v/>
      </c>
      <c r="H184" s="3">
        <f>IF(Loads!$F$184=1,INDEX(Geometry!$L$58:$L$137,Loads!$D$184),0)</f>
        <v/>
      </c>
      <c r="I184" s="3">
        <f>IF(Loads!$F$184=1,INDEX(Geometry!$K$58:$K$137,Loads!$E$184),0)</f>
        <v/>
      </c>
      <c r="J184" s="3">
        <f>IF(Loads!$F$184=1,INDEX(Geometry!$L$58:$L$137,Loads!$E$184),0)</f>
        <v/>
      </c>
      <c r="K184" s="3">
        <f>SQRT((Loads!$I$184-Loads!$G$184)^2+(Loads!$J$184-Loads!$H$184)^2)</f>
        <v/>
      </c>
      <c r="L184" s="3">
        <f>IF(Loads!$K$184&lt;1E-9,0,(Loads!$I$184-Loads!$G$184)/Loads!$K$184)</f>
        <v/>
      </c>
      <c r="M184" s="3">
        <f>IF(Loads!$K$184&lt;1E-9,0,(Loads!$J$184-Loads!$H$184)/Loads!$K$184)</f>
        <v/>
      </c>
      <c r="N184" s="3">
        <f>IF(Loads!$F$184=1,Inputs!$E$255+0,0)</f>
        <v/>
      </c>
      <c r="O184" s="3">
        <f>IF(AND(Loads!$F$184=1,Loads!$C$184="fixed"),INDEX(Loads!$K$125:$K$132,MATCH(Loads!$B$184,Loads!$C$125:$C$132,0)),0)</f>
        <v/>
      </c>
      <c r="P184" s="3">
        <f>Loads!$O$184*Loads!$L$184*Loads!$N$184</f>
        <v/>
      </c>
      <c r="Q184" s="3">
        <f>Loads!$O$184*Loads!$M$184*Loads!$N$184</f>
        <v/>
      </c>
      <c r="R184" s="3">
        <f>IF(Loads!$C$184="solve",Loads!$L$184*Loads!$N$184,0)</f>
        <v/>
      </c>
      <c r="S184" s="3">
        <f>IF(Loads!$C$184="solve",Loads!$M$184*Loads!$N$184,0)</f>
        <v/>
      </c>
      <c r="T184" s="3">
        <f>IF(Loads!$F$184=1,Loads!$K$184*MAX(1,INT(Loads!$N$184)),0)</f>
        <v/>
      </c>
      <c r="U184" s="3">
        <f>IF(Loads!$F$184=1,SUMIFS(Loads!$F$139:$F$146,Loads!$C$139:$C$146,Loads!$B$184),0)</f>
        <v/>
      </c>
      <c r="V184" s="3">
        <f>Loads!$T$184*Loads!$U$184/2000</f>
        <v/>
      </c>
      <c r="W184" s="3">
        <f>IF(Loads!$F$184=1,IF(INDEX(Inputs!$K$138:$K$217,Loads!$D$184)=1,Inputs!$C$255&amp;"",IF(INDEX(Inputs!$K$138:$K$217,Loads!$E$184)=1,Inputs!$D$255&amp;"","")),"")</f>
        <v/>
      </c>
      <c r="X184" s="3">
        <f>IF(Loads!$W$184&lt;&gt;"",1,0)</f>
        <v/>
      </c>
      <c r="Y184" s="3">
        <f>IF(Loads!$X$184=1,SUMIFS(Loads!$X$153:X184,Loads!$B$153:B184,Loads!$B$184),0)</f>
        <v/>
      </c>
      <c r="Z184" s="3">
        <f>IF(AND(Loads!$X$184=1,Loads!$Y$184=1),Loads!$B$184,"")</f>
        <v/>
      </c>
    </row>
    <row r="185">
      <c r="A185" s="3">
        <f>Inputs!$A$256</f>
        <v/>
      </c>
      <c r="B185" s="3">
        <f>IF(Loads!$A$185=1,Inputs!$B$256&amp;"","")</f>
        <v/>
      </c>
      <c r="C185" s="3">
        <f>IF(AND(Loads!$A$185=1,Loads!$B$185&lt;&gt;""),IFERROR(INDEX(Loads!$D$125:$D$132,MATCH(Loads!$B$185,Loads!$C$125:$C$132,0))&amp;"",""),"")</f>
        <v/>
      </c>
      <c r="D185" s="3">
        <f>IF(AND(Loads!$A$185=1,Inputs!$C$256&lt;&gt;""),IFERROR(MATCH(Inputs!$C$256&amp;"",Geometry!$B$58:$B$137,0),0),0)</f>
        <v/>
      </c>
      <c r="E185" s="3">
        <f>IF(AND(Loads!$A$185=1,Inputs!$D$256&lt;&gt;""),IFERROR(MATCH(Inputs!$D$256&amp;"",Geometry!$B$58:$B$137,0),0),0)</f>
        <v/>
      </c>
      <c r="F185" s="3">
        <f>IF(AND(Loads!$A$185=1,Loads!$C$185&lt;&gt;"",Loads!$D$185&gt;0,Loads!$E$185&gt;0),1,0)</f>
        <v/>
      </c>
      <c r="G185" s="3">
        <f>IF(Loads!$F$185=1,INDEX(Geometry!$K$58:$K$137,Loads!$D$185),0)</f>
        <v/>
      </c>
      <c r="H185" s="3">
        <f>IF(Loads!$F$185=1,INDEX(Geometry!$L$58:$L$137,Loads!$D$185),0)</f>
        <v/>
      </c>
      <c r="I185" s="3">
        <f>IF(Loads!$F$185=1,INDEX(Geometry!$K$58:$K$137,Loads!$E$185),0)</f>
        <v/>
      </c>
      <c r="J185" s="3">
        <f>IF(Loads!$F$185=1,INDEX(Geometry!$L$58:$L$137,Loads!$E$185),0)</f>
        <v/>
      </c>
      <c r="K185" s="3">
        <f>SQRT((Loads!$I$185-Loads!$G$185)^2+(Loads!$J$185-Loads!$H$185)^2)</f>
        <v/>
      </c>
      <c r="L185" s="3">
        <f>IF(Loads!$K$185&lt;1E-9,0,(Loads!$I$185-Loads!$G$185)/Loads!$K$185)</f>
        <v/>
      </c>
      <c r="M185" s="3">
        <f>IF(Loads!$K$185&lt;1E-9,0,(Loads!$J$185-Loads!$H$185)/Loads!$K$185)</f>
        <v/>
      </c>
      <c r="N185" s="3">
        <f>IF(Loads!$F$185=1,Inputs!$E$256+0,0)</f>
        <v/>
      </c>
      <c r="O185" s="3">
        <f>IF(AND(Loads!$F$185=1,Loads!$C$185="fixed"),INDEX(Loads!$K$125:$K$132,MATCH(Loads!$B$185,Loads!$C$125:$C$132,0)),0)</f>
        <v/>
      </c>
      <c r="P185" s="3">
        <f>Loads!$O$185*Loads!$L$185*Loads!$N$185</f>
        <v/>
      </c>
      <c r="Q185" s="3">
        <f>Loads!$O$185*Loads!$M$185*Loads!$N$185</f>
        <v/>
      </c>
      <c r="R185" s="3">
        <f>IF(Loads!$C$185="solve",Loads!$L$185*Loads!$N$185,0)</f>
        <v/>
      </c>
      <c r="S185" s="3">
        <f>IF(Loads!$C$185="solve",Loads!$M$185*Loads!$N$185,0)</f>
        <v/>
      </c>
      <c r="T185" s="3">
        <f>IF(Loads!$F$185=1,Loads!$K$185*MAX(1,INT(Loads!$N$185)),0)</f>
        <v/>
      </c>
      <c r="U185" s="3">
        <f>IF(Loads!$F$185=1,SUMIFS(Loads!$F$139:$F$146,Loads!$C$139:$C$146,Loads!$B$185),0)</f>
        <v/>
      </c>
      <c r="V185" s="3">
        <f>Loads!$T$185*Loads!$U$185/2000</f>
        <v/>
      </c>
      <c r="W185" s="3">
        <f>IF(Loads!$F$185=1,IF(INDEX(Inputs!$K$138:$K$217,Loads!$D$185)=1,Inputs!$C$256&amp;"",IF(INDEX(Inputs!$K$138:$K$217,Loads!$E$185)=1,Inputs!$D$256&amp;"","")),"")</f>
        <v/>
      </c>
      <c r="X185" s="3">
        <f>IF(Loads!$W$185&lt;&gt;"",1,0)</f>
        <v/>
      </c>
      <c r="Y185" s="3">
        <f>IF(Loads!$X$185=1,SUMIFS(Loads!$X$153:X185,Loads!$B$153:B185,Loads!$B$185),0)</f>
        <v/>
      </c>
      <c r="Z185" s="3">
        <f>IF(AND(Loads!$X$185=1,Loads!$Y$185=1),Loads!$B$185,"")</f>
        <v/>
      </c>
    </row>
    <row r="186">
      <c r="A186" s="3">
        <f>Inputs!$A$257</f>
        <v/>
      </c>
      <c r="B186" s="3">
        <f>IF(Loads!$A$186=1,Inputs!$B$257&amp;"","")</f>
        <v/>
      </c>
      <c r="C186" s="3">
        <f>IF(AND(Loads!$A$186=1,Loads!$B$186&lt;&gt;""),IFERROR(INDEX(Loads!$D$125:$D$132,MATCH(Loads!$B$186,Loads!$C$125:$C$132,0))&amp;"",""),"")</f>
        <v/>
      </c>
      <c r="D186" s="3">
        <f>IF(AND(Loads!$A$186=1,Inputs!$C$257&lt;&gt;""),IFERROR(MATCH(Inputs!$C$257&amp;"",Geometry!$B$58:$B$137,0),0),0)</f>
        <v/>
      </c>
      <c r="E186" s="3">
        <f>IF(AND(Loads!$A$186=1,Inputs!$D$257&lt;&gt;""),IFERROR(MATCH(Inputs!$D$257&amp;"",Geometry!$B$58:$B$137,0),0),0)</f>
        <v/>
      </c>
      <c r="F186" s="3">
        <f>IF(AND(Loads!$A$186=1,Loads!$C$186&lt;&gt;"",Loads!$D$186&gt;0,Loads!$E$186&gt;0),1,0)</f>
        <v/>
      </c>
      <c r="G186" s="3">
        <f>IF(Loads!$F$186=1,INDEX(Geometry!$K$58:$K$137,Loads!$D$186),0)</f>
        <v/>
      </c>
      <c r="H186" s="3">
        <f>IF(Loads!$F$186=1,INDEX(Geometry!$L$58:$L$137,Loads!$D$186),0)</f>
        <v/>
      </c>
      <c r="I186" s="3">
        <f>IF(Loads!$F$186=1,INDEX(Geometry!$K$58:$K$137,Loads!$E$186),0)</f>
        <v/>
      </c>
      <c r="J186" s="3">
        <f>IF(Loads!$F$186=1,INDEX(Geometry!$L$58:$L$137,Loads!$E$186),0)</f>
        <v/>
      </c>
      <c r="K186" s="3">
        <f>SQRT((Loads!$I$186-Loads!$G$186)^2+(Loads!$J$186-Loads!$H$186)^2)</f>
        <v/>
      </c>
      <c r="L186" s="3">
        <f>IF(Loads!$K$186&lt;1E-9,0,(Loads!$I$186-Loads!$G$186)/Loads!$K$186)</f>
        <v/>
      </c>
      <c r="M186" s="3">
        <f>IF(Loads!$K$186&lt;1E-9,0,(Loads!$J$186-Loads!$H$186)/Loads!$K$186)</f>
        <v/>
      </c>
      <c r="N186" s="3">
        <f>IF(Loads!$F$186=1,Inputs!$E$257+0,0)</f>
        <v/>
      </c>
      <c r="O186" s="3">
        <f>IF(AND(Loads!$F$186=1,Loads!$C$186="fixed"),INDEX(Loads!$K$125:$K$132,MATCH(Loads!$B$186,Loads!$C$125:$C$132,0)),0)</f>
        <v/>
      </c>
      <c r="P186" s="3">
        <f>Loads!$O$186*Loads!$L$186*Loads!$N$186</f>
        <v/>
      </c>
      <c r="Q186" s="3">
        <f>Loads!$O$186*Loads!$M$186*Loads!$N$186</f>
        <v/>
      </c>
      <c r="R186" s="3">
        <f>IF(Loads!$C$186="solve",Loads!$L$186*Loads!$N$186,0)</f>
        <v/>
      </c>
      <c r="S186" s="3">
        <f>IF(Loads!$C$186="solve",Loads!$M$186*Loads!$N$186,0)</f>
        <v/>
      </c>
      <c r="T186" s="3">
        <f>IF(Loads!$F$186=1,Loads!$K$186*MAX(1,INT(Loads!$N$186)),0)</f>
        <v/>
      </c>
      <c r="U186" s="3">
        <f>IF(Loads!$F$186=1,SUMIFS(Loads!$F$139:$F$146,Loads!$C$139:$C$146,Loads!$B$186),0)</f>
        <v/>
      </c>
      <c r="V186" s="3">
        <f>Loads!$T$186*Loads!$U$186/2000</f>
        <v/>
      </c>
      <c r="W186" s="3">
        <f>IF(Loads!$F$186=1,IF(INDEX(Inputs!$K$138:$K$217,Loads!$D$186)=1,Inputs!$C$257&amp;"",IF(INDEX(Inputs!$K$138:$K$217,Loads!$E$186)=1,Inputs!$D$257&amp;"","")),"")</f>
        <v/>
      </c>
      <c r="X186" s="3">
        <f>IF(Loads!$W$186&lt;&gt;"",1,0)</f>
        <v/>
      </c>
      <c r="Y186" s="3">
        <f>IF(Loads!$X$186=1,SUMIFS(Loads!$X$153:X186,Loads!$B$153:B186,Loads!$B$186),0)</f>
        <v/>
      </c>
      <c r="Z186" s="3">
        <f>IF(AND(Loads!$X$186=1,Loads!$Y$186=1),Loads!$B$186,"")</f>
        <v/>
      </c>
    </row>
    <row r="187">
      <c r="A187" s="3">
        <f>Inputs!$A$258</f>
        <v/>
      </c>
      <c r="B187" s="3">
        <f>IF(Loads!$A$187=1,Inputs!$B$258&amp;"","")</f>
        <v/>
      </c>
      <c r="C187" s="3">
        <f>IF(AND(Loads!$A$187=1,Loads!$B$187&lt;&gt;""),IFERROR(INDEX(Loads!$D$125:$D$132,MATCH(Loads!$B$187,Loads!$C$125:$C$132,0))&amp;"",""),"")</f>
        <v/>
      </c>
      <c r="D187" s="3">
        <f>IF(AND(Loads!$A$187=1,Inputs!$C$258&lt;&gt;""),IFERROR(MATCH(Inputs!$C$258&amp;"",Geometry!$B$58:$B$137,0),0),0)</f>
        <v/>
      </c>
      <c r="E187" s="3">
        <f>IF(AND(Loads!$A$187=1,Inputs!$D$258&lt;&gt;""),IFERROR(MATCH(Inputs!$D$258&amp;"",Geometry!$B$58:$B$137,0),0),0)</f>
        <v/>
      </c>
      <c r="F187" s="3">
        <f>IF(AND(Loads!$A$187=1,Loads!$C$187&lt;&gt;"",Loads!$D$187&gt;0,Loads!$E$187&gt;0),1,0)</f>
        <v/>
      </c>
      <c r="G187" s="3">
        <f>IF(Loads!$F$187=1,INDEX(Geometry!$K$58:$K$137,Loads!$D$187),0)</f>
        <v/>
      </c>
      <c r="H187" s="3">
        <f>IF(Loads!$F$187=1,INDEX(Geometry!$L$58:$L$137,Loads!$D$187),0)</f>
        <v/>
      </c>
      <c r="I187" s="3">
        <f>IF(Loads!$F$187=1,INDEX(Geometry!$K$58:$K$137,Loads!$E$187),0)</f>
        <v/>
      </c>
      <c r="J187" s="3">
        <f>IF(Loads!$F$187=1,INDEX(Geometry!$L$58:$L$137,Loads!$E$187),0)</f>
        <v/>
      </c>
      <c r="K187" s="3">
        <f>SQRT((Loads!$I$187-Loads!$G$187)^2+(Loads!$J$187-Loads!$H$187)^2)</f>
        <v/>
      </c>
      <c r="L187" s="3">
        <f>IF(Loads!$K$187&lt;1E-9,0,(Loads!$I$187-Loads!$G$187)/Loads!$K$187)</f>
        <v/>
      </c>
      <c r="M187" s="3">
        <f>IF(Loads!$K$187&lt;1E-9,0,(Loads!$J$187-Loads!$H$187)/Loads!$K$187)</f>
        <v/>
      </c>
      <c r="N187" s="3">
        <f>IF(Loads!$F$187=1,Inputs!$E$258+0,0)</f>
        <v/>
      </c>
      <c r="O187" s="3">
        <f>IF(AND(Loads!$F$187=1,Loads!$C$187="fixed"),INDEX(Loads!$K$125:$K$132,MATCH(Loads!$B$187,Loads!$C$125:$C$132,0)),0)</f>
        <v/>
      </c>
      <c r="P187" s="3">
        <f>Loads!$O$187*Loads!$L$187*Loads!$N$187</f>
        <v/>
      </c>
      <c r="Q187" s="3">
        <f>Loads!$O$187*Loads!$M$187*Loads!$N$187</f>
        <v/>
      </c>
      <c r="R187" s="3">
        <f>IF(Loads!$C$187="solve",Loads!$L$187*Loads!$N$187,0)</f>
        <v/>
      </c>
      <c r="S187" s="3">
        <f>IF(Loads!$C$187="solve",Loads!$M$187*Loads!$N$187,0)</f>
        <v/>
      </c>
      <c r="T187" s="3">
        <f>IF(Loads!$F$187=1,Loads!$K$187*MAX(1,INT(Loads!$N$187)),0)</f>
        <v/>
      </c>
      <c r="U187" s="3">
        <f>IF(Loads!$F$187=1,SUMIFS(Loads!$F$139:$F$146,Loads!$C$139:$C$146,Loads!$B$187),0)</f>
        <v/>
      </c>
      <c r="V187" s="3">
        <f>Loads!$T$187*Loads!$U$187/2000</f>
        <v/>
      </c>
      <c r="W187" s="3">
        <f>IF(Loads!$F$187=1,IF(INDEX(Inputs!$K$138:$K$217,Loads!$D$187)=1,Inputs!$C$258&amp;"",IF(INDEX(Inputs!$K$138:$K$217,Loads!$E$187)=1,Inputs!$D$258&amp;"","")),"")</f>
        <v/>
      </c>
      <c r="X187" s="3">
        <f>IF(Loads!$W$187&lt;&gt;"",1,0)</f>
        <v/>
      </c>
      <c r="Y187" s="3">
        <f>IF(Loads!$X$187=1,SUMIFS(Loads!$X$153:X187,Loads!$B$153:B187,Loads!$B$187),0)</f>
        <v/>
      </c>
      <c r="Z187" s="3">
        <f>IF(AND(Loads!$X$187=1,Loads!$Y$187=1),Loads!$B$187,"")</f>
        <v/>
      </c>
    </row>
    <row r="188">
      <c r="A188" s="3">
        <f>Inputs!$A$259</f>
        <v/>
      </c>
      <c r="B188" s="3">
        <f>IF(Loads!$A$188=1,Inputs!$B$259&amp;"","")</f>
        <v/>
      </c>
      <c r="C188" s="3">
        <f>IF(AND(Loads!$A$188=1,Loads!$B$188&lt;&gt;""),IFERROR(INDEX(Loads!$D$125:$D$132,MATCH(Loads!$B$188,Loads!$C$125:$C$132,0))&amp;"",""),"")</f>
        <v/>
      </c>
      <c r="D188" s="3">
        <f>IF(AND(Loads!$A$188=1,Inputs!$C$259&lt;&gt;""),IFERROR(MATCH(Inputs!$C$259&amp;"",Geometry!$B$58:$B$137,0),0),0)</f>
        <v/>
      </c>
      <c r="E188" s="3">
        <f>IF(AND(Loads!$A$188=1,Inputs!$D$259&lt;&gt;""),IFERROR(MATCH(Inputs!$D$259&amp;"",Geometry!$B$58:$B$137,0),0),0)</f>
        <v/>
      </c>
      <c r="F188" s="3">
        <f>IF(AND(Loads!$A$188=1,Loads!$C$188&lt;&gt;"",Loads!$D$188&gt;0,Loads!$E$188&gt;0),1,0)</f>
        <v/>
      </c>
      <c r="G188" s="3">
        <f>IF(Loads!$F$188=1,INDEX(Geometry!$K$58:$K$137,Loads!$D$188),0)</f>
        <v/>
      </c>
      <c r="H188" s="3">
        <f>IF(Loads!$F$188=1,INDEX(Geometry!$L$58:$L$137,Loads!$D$188),0)</f>
        <v/>
      </c>
      <c r="I188" s="3">
        <f>IF(Loads!$F$188=1,INDEX(Geometry!$K$58:$K$137,Loads!$E$188),0)</f>
        <v/>
      </c>
      <c r="J188" s="3">
        <f>IF(Loads!$F$188=1,INDEX(Geometry!$L$58:$L$137,Loads!$E$188),0)</f>
        <v/>
      </c>
      <c r="K188" s="3">
        <f>SQRT((Loads!$I$188-Loads!$G$188)^2+(Loads!$J$188-Loads!$H$188)^2)</f>
        <v/>
      </c>
      <c r="L188" s="3">
        <f>IF(Loads!$K$188&lt;1E-9,0,(Loads!$I$188-Loads!$G$188)/Loads!$K$188)</f>
        <v/>
      </c>
      <c r="M188" s="3">
        <f>IF(Loads!$K$188&lt;1E-9,0,(Loads!$J$188-Loads!$H$188)/Loads!$K$188)</f>
        <v/>
      </c>
      <c r="N188" s="3">
        <f>IF(Loads!$F$188=1,Inputs!$E$259+0,0)</f>
        <v/>
      </c>
      <c r="O188" s="3">
        <f>IF(AND(Loads!$F$188=1,Loads!$C$188="fixed"),INDEX(Loads!$K$125:$K$132,MATCH(Loads!$B$188,Loads!$C$125:$C$132,0)),0)</f>
        <v/>
      </c>
      <c r="P188" s="3">
        <f>Loads!$O$188*Loads!$L$188*Loads!$N$188</f>
        <v/>
      </c>
      <c r="Q188" s="3">
        <f>Loads!$O$188*Loads!$M$188*Loads!$N$188</f>
        <v/>
      </c>
      <c r="R188" s="3">
        <f>IF(Loads!$C$188="solve",Loads!$L$188*Loads!$N$188,0)</f>
        <v/>
      </c>
      <c r="S188" s="3">
        <f>IF(Loads!$C$188="solve",Loads!$M$188*Loads!$N$188,0)</f>
        <v/>
      </c>
      <c r="T188" s="3">
        <f>IF(Loads!$F$188=1,Loads!$K$188*MAX(1,INT(Loads!$N$188)),0)</f>
        <v/>
      </c>
      <c r="U188" s="3">
        <f>IF(Loads!$F$188=1,SUMIFS(Loads!$F$139:$F$146,Loads!$C$139:$C$146,Loads!$B$188),0)</f>
        <v/>
      </c>
      <c r="V188" s="3">
        <f>Loads!$T$188*Loads!$U$188/2000</f>
        <v/>
      </c>
      <c r="W188" s="3">
        <f>IF(Loads!$F$188=1,IF(INDEX(Inputs!$K$138:$K$217,Loads!$D$188)=1,Inputs!$C$259&amp;"",IF(INDEX(Inputs!$K$138:$K$217,Loads!$E$188)=1,Inputs!$D$259&amp;"","")),"")</f>
        <v/>
      </c>
      <c r="X188" s="3">
        <f>IF(Loads!$W$188&lt;&gt;"",1,0)</f>
        <v/>
      </c>
      <c r="Y188" s="3">
        <f>IF(Loads!$X$188=1,SUMIFS(Loads!$X$153:X188,Loads!$B$153:B188,Loads!$B$188),0)</f>
        <v/>
      </c>
      <c r="Z188" s="3">
        <f>IF(AND(Loads!$X$188=1,Loads!$Y$188=1),Loads!$B$188,"")</f>
        <v/>
      </c>
    </row>
    <row r="189">
      <c r="A189" s="3">
        <f>Inputs!$A$260</f>
        <v/>
      </c>
      <c r="B189" s="3">
        <f>IF(Loads!$A$189=1,Inputs!$B$260&amp;"","")</f>
        <v/>
      </c>
      <c r="C189" s="3">
        <f>IF(AND(Loads!$A$189=1,Loads!$B$189&lt;&gt;""),IFERROR(INDEX(Loads!$D$125:$D$132,MATCH(Loads!$B$189,Loads!$C$125:$C$132,0))&amp;"",""),"")</f>
        <v/>
      </c>
      <c r="D189" s="3">
        <f>IF(AND(Loads!$A$189=1,Inputs!$C$260&lt;&gt;""),IFERROR(MATCH(Inputs!$C$260&amp;"",Geometry!$B$58:$B$137,0),0),0)</f>
        <v/>
      </c>
      <c r="E189" s="3">
        <f>IF(AND(Loads!$A$189=1,Inputs!$D$260&lt;&gt;""),IFERROR(MATCH(Inputs!$D$260&amp;"",Geometry!$B$58:$B$137,0),0),0)</f>
        <v/>
      </c>
      <c r="F189" s="3">
        <f>IF(AND(Loads!$A$189=1,Loads!$C$189&lt;&gt;"",Loads!$D$189&gt;0,Loads!$E$189&gt;0),1,0)</f>
        <v/>
      </c>
      <c r="G189" s="3">
        <f>IF(Loads!$F$189=1,INDEX(Geometry!$K$58:$K$137,Loads!$D$189),0)</f>
        <v/>
      </c>
      <c r="H189" s="3">
        <f>IF(Loads!$F$189=1,INDEX(Geometry!$L$58:$L$137,Loads!$D$189),0)</f>
        <v/>
      </c>
      <c r="I189" s="3">
        <f>IF(Loads!$F$189=1,INDEX(Geometry!$K$58:$K$137,Loads!$E$189),0)</f>
        <v/>
      </c>
      <c r="J189" s="3">
        <f>IF(Loads!$F$189=1,INDEX(Geometry!$L$58:$L$137,Loads!$E$189),0)</f>
        <v/>
      </c>
      <c r="K189" s="3">
        <f>SQRT((Loads!$I$189-Loads!$G$189)^2+(Loads!$J$189-Loads!$H$189)^2)</f>
        <v/>
      </c>
      <c r="L189" s="3">
        <f>IF(Loads!$K$189&lt;1E-9,0,(Loads!$I$189-Loads!$G$189)/Loads!$K$189)</f>
        <v/>
      </c>
      <c r="M189" s="3">
        <f>IF(Loads!$K$189&lt;1E-9,0,(Loads!$J$189-Loads!$H$189)/Loads!$K$189)</f>
        <v/>
      </c>
      <c r="N189" s="3">
        <f>IF(Loads!$F$189=1,Inputs!$E$260+0,0)</f>
        <v/>
      </c>
      <c r="O189" s="3">
        <f>IF(AND(Loads!$F$189=1,Loads!$C$189="fixed"),INDEX(Loads!$K$125:$K$132,MATCH(Loads!$B$189,Loads!$C$125:$C$132,0)),0)</f>
        <v/>
      </c>
      <c r="P189" s="3">
        <f>Loads!$O$189*Loads!$L$189*Loads!$N$189</f>
        <v/>
      </c>
      <c r="Q189" s="3">
        <f>Loads!$O$189*Loads!$M$189*Loads!$N$189</f>
        <v/>
      </c>
      <c r="R189" s="3">
        <f>IF(Loads!$C$189="solve",Loads!$L$189*Loads!$N$189,0)</f>
        <v/>
      </c>
      <c r="S189" s="3">
        <f>IF(Loads!$C$189="solve",Loads!$M$189*Loads!$N$189,0)</f>
        <v/>
      </c>
      <c r="T189" s="3">
        <f>IF(Loads!$F$189=1,Loads!$K$189*MAX(1,INT(Loads!$N$189)),0)</f>
        <v/>
      </c>
      <c r="U189" s="3">
        <f>IF(Loads!$F$189=1,SUMIFS(Loads!$F$139:$F$146,Loads!$C$139:$C$146,Loads!$B$189),0)</f>
        <v/>
      </c>
      <c r="V189" s="3">
        <f>Loads!$T$189*Loads!$U$189/2000</f>
        <v/>
      </c>
      <c r="W189" s="3">
        <f>IF(Loads!$F$189=1,IF(INDEX(Inputs!$K$138:$K$217,Loads!$D$189)=1,Inputs!$C$260&amp;"",IF(INDEX(Inputs!$K$138:$K$217,Loads!$E$189)=1,Inputs!$D$260&amp;"","")),"")</f>
        <v/>
      </c>
      <c r="X189" s="3">
        <f>IF(Loads!$W$189&lt;&gt;"",1,0)</f>
        <v/>
      </c>
      <c r="Y189" s="3">
        <f>IF(Loads!$X$189=1,SUMIFS(Loads!$X$153:X189,Loads!$B$153:B189,Loads!$B$189),0)</f>
        <v/>
      </c>
      <c r="Z189" s="3">
        <f>IF(AND(Loads!$X$189=1,Loads!$Y$189=1),Loads!$B$189,"")</f>
        <v/>
      </c>
    </row>
    <row r="190">
      <c r="A190" s="3">
        <f>Inputs!$A$261</f>
        <v/>
      </c>
      <c r="B190" s="3">
        <f>IF(Loads!$A$190=1,Inputs!$B$261&amp;"","")</f>
        <v/>
      </c>
      <c r="C190" s="3">
        <f>IF(AND(Loads!$A$190=1,Loads!$B$190&lt;&gt;""),IFERROR(INDEX(Loads!$D$125:$D$132,MATCH(Loads!$B$190,Loads!$C$125:$C$132,0))&amp;"",""),"")</f>
        <v/>
      </c>
      <c r="D190" s="3">
        <f>IF(AND(Loads!$A$190=1,Inputs!$C$261&lt;&gt;""),IFERROR(MATCH(Inputs!$C$261&amp;"",Geometry!$B$58:$B$137,0),0),0)</f>
        <v/>
      </c>
      <c r="E190" s="3">
        <f>IF(AND(Loads!$A$190=1,Inputs!$D$261&lt;&gt;""),IFERROR(MATCH(Inputs!$D$261&amp;"",Geometry!$B$58:$B$137,0),0),0)</f>
        <v/>
      </c>
      <c r="F190" s="3">
        <f>IF(AND(Loads!$A$190=1,Loads!$C$190&lt;&gt;"",Loads!$D$190&gt;0,Loads!$E$190&gt;0),1,0)</f>
        <v/>
      </c>
      <c r="G190" s="3">
        <f>IF(Loads!$F$190=1,INDEX(Geometry!$K$58:$K$137,Loads!$D$190),0)</f>
        <v/>
      </c>
      <c r="H190" s="3">
        <f>IF(Loads!$F$190=1,INDEX(Geometry!$L$58:$L$137,Loads!$D$190),0)</f>
        <v/>
      </c>
      <c r="I190" s="3">
        <f>IF(Loads!$F$190=1,INDEX(Geometry!$K$58:$K$137,Loads!$E$190),0)</f>
        <v/>
      </c>
      <c r="J190" s="3">
        <f>IF(Loads!$F$190=1,INDEX(Geometry!$L$58:$L$137,Loads!$E$190),0)</f>
        <v/>
      </c>
      <c r="K190" s="3">
        <f>SQRT((Loads!$I$190-Loads!$G$190)^2+(Loads!$J$190-Loads!$H$190)^2)</f>
        <v/>
      </c>
      <c r="L190" s="3">
        <f>IF(Loads!$K$190&lt;1E-9,0,(Loads!$I$190-Loads!$G$190)/Loads!$K$190)</f>
        <v/>
      </c>
      <c r="M190" s="3">
        <f>IF(Loads!$K$190&lt;1E-9,0,(Loads!$J$190-Loads!$H$190)/Loads!$K$190)</f>
        <v/>
      </c>
      <c r="N190" s="3">
        <f>IF(Loads!$F$190=1,Inputs!$E$261+0,0)</f>
        <v/>
      </c>
      <c r="O190" s="3">
        <f>IF(AND(Loads!$F$190=1,Loads!$C$190="fixed"),INDEX(Loads!$K$125:$K$132,MATCH(Loads!$B$190,Loads!$C$125:$C$132,0)),0)</f>
        <v/>
      </c>
      <c r="P190" s="3">
        <f>Loads!$O$190*Loads!$L$190*Loads!$N$190</f>
        <v/>
      </c>
      <c r="Q190" s="3">
        <f>Loads!$O$190*Loads!$M$190*Loads!$N$190</f>
        <v/>
      </c>
      <c r="R190" s="3">
        <f>IF(Loads!$C$190="solve",Loads!$L$190*Loads!$N$190,0)</f>
        <v/>
      </c>
      <c r="S190" s="3">
        <f>IF(Loads!$C$190="solve",Loads!$M$190*Loads!$N$190,0)</f>
        <v/>
      </c>
      <c r="T190" s="3">
        <f>IF(Loads!$F$190=1,Loads!$K$190*MAX(1,INT(Loads!$N$190)),0)</f>
        <v/>
      </c>
      <c r="U190" s="3">
        <f>IF(Loads!$F$190=1,SUMIFS(Loads!$F$139:$F$146,Loads!$C$139:$C$146,Loads!$B$190),0)</f>
        <v/>
      </c>
      <c r="V190" s="3">
        <f>Loads!$T$190*Loads!$U$190/2000</f>
        <v/>
      </c>
      <c r="W190" s="3">
        <f>IF(Loads!$F$190=1,IF(INDEX(Inputs!$K$138:$K$217,Loads!$D$190)=1,Inputs!$C$261&amp;"",IF(INDEX(Inputs!$K$138:$K$217,Loads!$E$190)=1,Inputs!$D$261&amp;"","")),"")</f>
        <v/>
      </c>
      <c r="X190" s="3">
        <f>IF(Loads!$W$190&lt;&gt;"",1,0)</f>
        <v/>
      </c>
      <c r="Y190" s="3">
        <f>IF(Loads!$X$190=1,SUMIFS(Loads!$X$153:X190,Loads!$B$153:B190,Loads!$B$190),0)</f>
        <v/>
      </c>
      <c r="Z190" s="3">
        <f>IF(AND(Loads!$X$190=1,Loads!$Y$190=1),Loads!$B$190,"")</f>
        <v/>
      </c>
    </row>
    <row r="191">
      <c r="A191" s="3">
        <f>Inputs!$A$262</f>
        <v/>
      </c>
      <c r="B191" s="3">
        <f>IF(Loads!$A$191=1,Inputs!$B$262&amp;"","")</f>
        <v/>
      </c>
      <c r="C191" s="3">
        <f>IF(AND(Loads!$A$191=1,Loads!$B$191&lt;&gt;""),IFERROR(INDEX(Loads!$D$125:$D$132,MATCH(Loads!$B$191,Loads!$C$125:$C$132,0))&amp;"",""),"")</f>
        <v/>
      </c>
      <c r="D191" s="3">
        <f>IF(AND(Loads!$A$191=1,Inputs!$C$262&lt;&gt;""),IFERROR(MATCH(Inputs!$C$262&amp;"",Geometry!$B$58:$B$137,0),0),0)</f>
        <v/>
      </c>
      <c r="E191" s="3">
        <f>IF(AND(Loads!$A$191=1,Inputs!$D$262&lt;&gt;""),IFERROR(MATCH(Inputs!$D$262&amp;"",Geometry!$B$58:$B$137,0),0),0)</f>
        <v/>
      </c>
      <c r="F191" s="3">
        <f>IF(AND(Loads!$A$191=1,Loads!$C$191&lt;&gt;"",Loads!$D$191&gt;0,Loads!$E$191&gt;0),1,0)</f>
        <v/>
      </c>
      <c r="G191" s="3">
        <f>IF(Loads!$F$191=1,INDEX(Geometry!$K$58:$K$137,Loads!$D$191),0)</f>
        <v/>
      </c>
      <c r="H191" s="3">
        <f>IF(Loads!$F$191=1,INDEX(Geometry!$L$58:$L$137,Loads!$D$191),0)</f>
        <v/>
      </c>
      <c r="I191" s="3">
        <f>IF(Loads!$F$191=1,INDEX(Geometry!$K$58:$K$137,Loads!$E$191),0)</f>
        <v/>
      </c>
      <c r="J191" s="3">
        <f>IF(Loads!$F$191=1,INDEX(Geometry!$L$58:$L$137,Loads!$E$191),0)</f>
        <v/>
      </c>
      <c r="K191" s="3">
        <f>SQRT((Loads!$I$191-Loads!$G$191)^2+(Loads!$J$191-Loads!$H$191)^2)</f>
        <v/>
      </c>
      <c r="L191" s="3">
        <f>IF(Loads!$K$191&lt;1E-9,0,(Loads!$I$191-Loads!$G$191)/Loads!$K$191)</f>
        <v/>
      </c>
      <c r="M191" s="3">
        <f>IF(Loads!$K$191&lt;1E-9,0,(Loads!$J$191-Loads!$H$191)/Loads!$K$191)</f>
        <v/>
      </c>
      <c r="N191" s="3">
        <f>IF(Loads!$F$191=1,Inputs!$E$262+0,0)</f>
        <v/>
      </c>
      <c r="O191" s="3">
        <f>IF(AND(Loads!$F$191=1,Loads!$C$191="fixed"),INDEX(Loads!$K$125:$K$132,MATCH(Loads!$B$191,Loads!$C$125:$C$132,0)),0)</f>
        <v/>
      </c>
      <c r="P191" s="3">
        <f>Loads!$O$191*Loads!$L$191*Loads!$N$191</f>
        <v/>
      </c>
      <c r="Q191" s="3">
        <f>Loads!$O$191*Loads!$M$191*Loads!$N$191</f>
        <v/>
      </c>
      <c r="R191" s="3">
        <f>IF(Loads!$C$191="solve",Loads!$L$191*Loads!$N$191,0)</f>
        <v/>
      </c>
      <c r="S191" s="3">
        <f>IF(Loads!$C$191="solve",Loads!$M$191*Loads!$N$191,0)</f>
        <v/>
      </c>
      <c r="T191" s="3">
        <f>IF(Loads!$F$191=1,Loads!$K$191*MAX(1,INT(Loads!$N$191)),0)</f>
        <v/>
      </c>
      <c r="U191" s="3">
        <f>IF(Loads!$F$191=1,SUMIFS(Loads!$F$139:$F$146,Loads!$C$139:$C$146,Loads!$B$191),0)</f>
        <v/>
      </c>
      <c r="V191" s="3">
        <f>Loads!$T$191*Loads!$U$191/2000</f>
        <v/>
      </c>
      <c r="W191" s="3">
        <f>IF(Loads!$F$191=1,IF(INDEX(Inputs!$K$138:$K$217,Loads!$D$191)=1,Inputs!$C$262&amp;"",IF(INDEX(Inputs!$K$138:$K$217,Loads!$E$191)=1,Inputs!$D$262&amp;"","")),"")</f>
        <v/>
      </c>
      <c r="X191" s="3">
        <f>IF(Loads!$W$191&lt;&gt;"",1,0)</f>
        <v/>
      </c>
      <c r="Y191" s="3">
        <f>IF(Loads!$X$191=1,SUMIFS(Loads!$X$153:X191,Loads!$B$153:B191,Loads!$B$191),0)</f>
        <v/>
      </c>
      <c r="Z191" s="3">
        <f>IF(AND(Loads!$X$191=1,Loads!$Y$191=1),Loads!$B$191,"")</f>
        <v/>
      </c>
    </row>
    <row r="192">
      <c r="A192" s="3">
        <f>Inputs!$A$263</f>
        <v/>
      </c>
      <c r="B192" s="3">
        <f>IF(Loads!$A$192=1,Inputs!$B$263&amp;"","")</f>
        <v/>
      </c>
      <c r="C192" s="3">
        <f>IF(AND(Loads!$A$192=1,Loads!$B$192&lt;&gt;""),IFERROR(INDEX(Loads!$D$125:$D$132,MATCH(Loads!$B$192,Loads!$C$125:$C$132,0))&amp;"",""),"")</f>
        <v/>
      </c>
      <c r="D192" s="3">
        <f>IF(AND(Loads!$A$192=1,Inputs!$C$263&lt;&gt;""),IFERROR(MATCH(Inputs!$C$263&amp;"",Geometry!$B$58:$B$137,0),0),0)</f>
        <v/>
      </c>
      <c r="E192" s="3">
        <f>IF(AND(Loads!$A$192=1,Inputs!$D$263&lt;&gt;""),IFERROR(MATCH(Inputs!$D$263&amp;"",Geometry!$B$58:$B$137,0),0),0)</f>
        <v/>
      </c>
      <c r="F192" s="3">
        <f>IF(AND(Loads!$A$192=1,Loads!$C$192&lt;&gt;"",Loads!$D$192&gt;0,Loads!$E$192&gt;0),1,0)</f>
        <v/>
      </c>
      <c r="G192" s="3">
        <f>IF(Loads!$F$192=1,INDEX(Geometry!$K$58:$K$137,Loads!$D$192),0)</f>
        <v/>
      </c>
      <c r="H192" s="3">
        <f>IF(Loads!$F$192=1,INDEX(Geometry!$L$58:$L$137,Loads!$D$192),0)</f>
        <v/>
      </c>
      <c r="I192" s="3">
        <f>IF(Loads!$F$192=1,INDEX(Geometry!$K$58:$K$137,Loads!$E$192),0)</f>
        <v/>
      </c>
      <c r="J192" s="3">
        <f>IF(Loads!$F$192=1,INDEX(Geometry!$L$58:$L$137,Loads!$E$192),0)</f>
        <v/>
      </c>
      <c r="K192" s="3">
        <f>SQRT((Loads!$I$192-Loads!$G$192)^2+(Loads!$J$192-Loads!$H$192)^2)</f>
        <v/>
      </c>
      <c r="L192" s="3">
        <f>IF(Loads!$K$192&lt;1E-9,0,(Loads!$I$192-Loads!$G$192)/Loads!$K$192)</f>
        <v/>
      </c>
      <c r="M192" s="3">
        <f>IF(Loads!$K$192&lt;1E-9,0,(Loads!$J$192-Loads!$H$192)/Loads!$K$192)</f>
        <v/>
      </c>
      <c r="N192" s="3">
        <f>IF(Loads!$F$192=1,Inputs!$E$263+0,0)</f>
        <v/>
      </c>
      <c r="O192" s="3">
        <f>IF(AND(Loads!$F$192=1,Loads!$C$192="fixed"),INDEX(Loads!$K$125:$K$132,MATCH(Loads!$B$192,Loads!$C$125:$C$132,0)),0)</f>
        <v/>
      </c>
      <c r="P192" s="3">
        <f>Loads!$O$192*Loads!$L$192*Loads!$N$192</f>
        <v/>
      </c>
      <c r="Q192" s="3">
        <f>Loads!$O$192*Loads!$M$192*Loads!$N$192</f>
        <v/>
      </c>
      <c r="R192" s="3">
        <f>IF(Loads!$C$192="solve",Loads!$L$192*Loads!$N$192,0)</f>
        <v/>
      </c>
      <c r="S192" s="3">
        <f>IF(Loads!$C$192="solve",Loads!$M$192*Loads!$N$192,0)</f>
        <v/>
      </c>
      <c r="T192" s="3">
        <f>IF(Loads!$F$192=1,Loads!$K$192*MAX(1,INT(Loads!$N$192)),0)</f>
        <v/>
      </c>
      <c r="U192" s="3">
        <f>IF(Loads!$F$192=1,SUMIFS(Loads!$F$139:$F$146,Loads!$C$139:$C$146,Loads!$B$192),0)</f>
        <v/>
      </c>
      <c r="V192" s="3">
        <f>Loads!$T$192*Loads!$U$192/2000</f>
        <v/>
      </c>
      <c r="W192" s="3">
        <f>IF(Loads!$F$192=1,IF(INDEX(Inputs!$K$138:$K$217,Loads!$D$192)=1,Inputs!$C$263&amp;"",IF(INDEX(Inputs!$K$138:$K$217,Loads!$E$192)=1,Inputs!$D$263&amp;"","")),"")</f>
        <v/>
      </c>
      <c r="X192" s="3">
        <f>IF(Loads!$W$192&lt;&gt;"",1,0)</f>
        <v/>
      </c>
      <c r="Y192" s="3">
        <f>IF(Loads!$X$192=1,SUMIFS(Loads!$X$153:X192,Loads!$B$153:B192,Loads!$B$192),0)</f>
        <v/>
      </c>
      <c r="Z192" s="3">
        <f>IF(AND(Loads!$X$192=1,Loads!$Y$192=1),Loads!$B$192,"")</f>
        <v/>
      </c>
    </row>
    <row r="193">
      <c r="A193" s="3">
        <f>Inputs!$A$264</f>
        <v/>
      </c>
      <c r="B193" s="3">
        <f>IF(Loads!$A$193=1,Inputs!$B$264&amp;"","")</f>
        <v/>
      </c>
      <c r="C193" s="3">
        <f>IF(AND(Loads!$A$193=1,Loads!$B$193&lt;&gt;""),IFERROR(INDEX(Loads!$D$125:$D$132,MATCH(Loads!$B$193,Loads!$C$125:$C$132,0))&amp;"",""),"")</f>
        <v/>
      </c>
      <c r="D193" s="3">
        <f>IF(AND(Loads!$A$193=1,Inputs!$C$264&lt;&gt;""),IFERROR(MATCH(Inputs!$C$264&amp;"",Geometry!$B$58:$B$137,0),0),0)</f>
        <v/>
      </c>
      <c r="E193" s="3">
        <f>IF(AND(Loads!$A$193=1,Inputs!$D$264&lt;&gt;""),IFERROR(MATCH(Inputs!$D$264&amp;"",Geometry!$B$58:$B$137,0),0),0)</f>
        <v/>
      </c>
      <c r="F193" s="3">
        <f>IF(AND(Loads!$A$193=1,Loads!$C$193&lt;&gt;"",Loads!$D$193&gt;0,Loads!$E$193&gt;0),1,0)</f>
        <v/>
      </c>
      <c r="G193" s="3">
        <f>IF(Loads!$F$193=1,INDEX(Geometry!$K$58:$K$137,Loads!$D$193),0)</f>
        <v/>
      </c>
      <c r="H193" s="3">
        <f>IF(Loads!$F$193=1,INDEX(Geometry!$L$58:$L$137,Loads!$D$193),0)</f>
        <v/>
      </c>
      <c r="I193" s="3">
        <f>IF(Loads!$F$193=1,INDEX(Geometry!$K$58:$K$137,Loads!$E$193),0)</f>
        <v/>
      </c>
      <c r="J193" s="3">
        <f>IF(Loads!$F$193=1,INDEX(Geometry!$L$58:$L$137,Loads!$E$193),0)</f>
        <v/>
      </c>
      <c r="K193" s="3">
        <f>SQRT((Loads!$I$193-Loads!$G$193)^2+(Loads!$J$193-Loads!$H$193)^2)</f>
        <v/>
      </c>
      <c r="L193" s="3">
        <f>IF(Loads!$K$193&lt;1E-9,0,(Loads!$I$193-Loads!$G$193)/Loads!$K$193)</f>
        <v/>
      </c>
      <c r="M193" s="3">
        <f>IF(Loads!$K$193&lt;1E-9,0,(Loads!$J$193-Loads!$H$193)/Loads!$K$193)</f>
        <v/>
      </c>
      <c r="N193" s="3">
        <f>IF(Loads!$F$193=1,Inputs!$E$264+0,0)</f>
        <v/>
      </c>
      <c r="O193" s="3">
        <f>IF(AND(Loads!$F$193=1,Loads!$C$193="fixed"),INDEX(Loads!$K$125:$K$132,MATCH(Loads!$B$193,Loads!$C$125:$C$132,0)),0)</f>
        <v/>
      </c>
      <c r="P193" s="3">
        <f>Loads!$O$193*Loads!$L$193*Loads!$N$193</f>
        <v/>
      </c>
      <c r="Q193" s="3">
        <f>Loads!$O$193*Loads!$M$193*Loads!$N$193</f>
        <v/>
      </c>
      <c r="R193" s="3">
        <f>IF(Loads!$C$193="solve",Loads!$L$193*Loads!$N$193,0)</f>
        <v/>
      </c>
      <c r="S193" s="3">
        <f>IF(Loads!$C$193="solve",Loads!$M$193*Loads!$N$193,0)</f>
        <v/>
      </c>
      <c r="T193" s="3">
        <f>IF(Loads!$F$193=1,Loads!$K$193*MAX(1,INT(Loads!$N$193)),0)</f>
        <v/>
      </c>
      <c r="U193" s="3">
        <f>IF(Loads!$F$193=1,SUMIFS(Loads!$F$139:$F$146,Loads!$C$139:$C$146,Loads!$B$193),0)</f>
        <v/>
      </c>
      <c r="V193" s="3">
        <f>Loads!$T$193*Loads!$U$193/2000</f>
        <v/>
      </c>
      <c r="W193" s="3">
        <f>IF(Loads!$F$193=1,IF(INDEX(Inputs!$K$138:$K$217,Loads!$D$193)=1,Inputs!$C$264&amp;"",IF(INDEX(Inputs!$K$138:$K$217,Loads!$E$193)=1,Inputs!$D$264&amp;"","")),"")</f>
        <v/>
      </c>
      <c r="X193" s="3">
        <f>IF(Loads!$W$193&lt;&gt;"",1,0)</f>
        <v/>
      </c>
      <c r="Y193" s="3">
        <f>IF(Loads!$X$193=1,SUMIFS(Loads!$X$153:X193,Loads!$B$153:B193,Loads!$B$193),0)</f>
        <v/>
      </c>
      <c r="Z193" s="3">
        <f>IF(AND(Loads!$X$193=1,Loads!$Y$193=1),Loads!$B$193,"")</f>
        <v/>
      </c>
    </row>
    <row r="194">
      <c r="A194" s="3">
        <f>Inputs!$A$265</f>
        <v/>
      </c>
      <c r="B194" s="3">
        <f>IF(Loads!$A$194=1,Inputs!$B$265&amp;"","")</f>
        <v/>
      </c>
      <c r="C194" s="3">
        <f>IF(AND(Loads!$A$194=1,Loads!$B$194&lt;&gt;""),IFERROR(INDEX(Loads!$D$125:$D$132,MATCH(Loads!$B$194,Loads!$C$125:$C$132,0))&amp;"",""),"")</f>
        <v/>
      </c>
      <c r="D194" s="3">
        <f>IF(AND(Loads!$A$194=1,Inputs!$C$265&lt;&gt;""),IFERROR(MATCH(Inputs!$C$265&amp;"",Geometry!$B$58:$B$137,0),0),0)</f>
        <v/>
      </c>
      <c r="E194" s="3">
        <f>IF(AND(Loads!$A$194=1,Inputs!$D$265&lt;&gt;""),IFERROR(MATCH(Inputs!$D$265&amp;"",Geometry!$B$58:$B$137,0),0),0)</f>
        <v/>
      </c>
      <c r="F194" s="3">
        <f>IF(AND(Loads!$A$194=1,Loads!$C$194&lt;&gt;"",Loads!$D$194&gt;0,Loads!$E$194&gt;0),1,0)</f>
        <v/>
      </c>
      <c r="G194" s="3">
        <f>IF(Loads!$F$194=1,INDEX(Geometry!$K$58:$K$137,Loads!$D$194),0)</f>
        <v/>
      </c>
      <c r="H194" s="3">
        <f>IF(Loads!$F$194=1,INDEX(Geometry!$L$58:$L$137,Loads!$D$194),0)</f>
        <v/>
      </c>
      <c r="I194" s="3">
        <f>IF(Loads!$F$194=1,INDEX(Geometry!$K$58:$K$137,Loads!$E$194),0)</f>
        <v/>
      </c>
      <c r="J194" s="3">
        <f>IF(Loads!$F$194=1,INDEX(Geometry!$L$58:$L$137,Loads!$E$194),0)</f>
        <v/>
      </c>
      <c r="K194" s="3">
        <f>SQRT((Loads!$I$194-Loads!$G$194)^2+(Loads!$J$194-Loads!$H$194)^2)</f>
        <v/>
      </c>
      <c r="L194" s="3">
        <f>IF(Loads!$K$194&lt;1E-9,0,(Loads!$I$194-Loads!$G$194)/Loads!$K$194)</f>
        <v/>
      </c>
      <c r="M194" s="3">
        <f>IF(Loads!$K$194&lt;1E-9,0,(Loads!$J$194-Loads!$H$194)/Loads!$K$194)</f>
        <v/>
      </c>
      <c r="N194" s="3">
        <f>IF(Loads!$F$194=1,Inputs!$E$265+0,0)</f>
        <v/>
      </c>
      <c r="O194" s="3">
        <f>IF(AND(Loads!$F$194=1,Loads!$C$194="fixed"),INDEX(Loads!$K$125:$K$132,MATCH(Loads!$B$194,Loads!$C$125:$C$132,0)),0)</f>
        <v/>
      </c>
      <c r="P194" s="3">
        <f>Loads!$O$194*Loads!$L$194*Loads!$N$194</f>
        <v/>
      </c>
      <c r="Q194" s="3">
        <f>Loads!$O$194*Loads!$M$194*Loads!$N$194</f>
        <v/>
      </c>
      <c r="R194" s="3">
        <f>IF(Loads!$C$194="solve",Loads!$L$194*Loads!$N$194,0)</f>
        <v/>
      </c>
      <c r="S194" s="3">
        <f>IF(Loads!$C$194="solve",Loads!$M$194*Loads!$N$194,0)</f>
        <v/>
      </c>
      <c r="T194" s="3">
        <f>IF(Loads!$F$194=1,Loads!$K$194*MAX(1,INT(Loads!$N$194)),0)</f>
        <v/>
      </c>
      <c r="U194" s="3">
        <f>IF(Loads!$F$194=1,SUMIFS(Loads!$F$139:$F$146,Loads!$C$139:$C$146,Loads!$B$194),0)</f>
        <v/>
      </c>
      <c r="V194" s="3">
        <f>Loads!$T$194*Loads!$U$194/2000</f>
        <v/>
      </c>
      <c r="W194" s="3">
        <f>IF(Loads!$F$194=1,IF(INDEX(Inputs!$K$138:$K$217,Loads!$D$194)=1,Inputs!$C$265&amp;"",IF(INDEX(Inputs!$K$138:$K$217,Loads!$E$194)=1,Inputs!$D$265&amp;"","")),"")</f>
        <v/>
      </c>
      <c r="X194" s="3">
        <f>IF(Loads!$W$194&lt;&gt;"",1,0)</f>
        <v/>
      </c>
      <c r="Y194" s="3">
        <f>IF(Loads!$X$194=1,SUMIFS(Loads!$X$153:X194,Loads!$B$153:B194,Loads!$B$194),0)</f>
        <v/>
      </c>
      <c r="Z194" s="3">
        <f>IF(AND(Loads!$X$194=1,Loads!$Y$194=1),Loads!$B$194,"")</f>
        <v/>
      </c>
    </row>
    <row r="195">
      <c r="A195" s="3">
        <f>Inputs!$A$266</f>
        <v/>
      </c>
      <c r="B195" s="3">
        <f>IF(Loads!$A$195=1,Inputs!$B$266&amp;"","")</f>
        <v/>
      </c>
      <c r="C195" s="3">
        <f>IF(AND(Loads!$A$195=1,Loads!$B$195&lt;&gt;""),IFERROR(INDEX(Loads!$D$125:$D$132,MATCH(Loads!$B$195,Loads!$C$125:$C$132,0))&amp;"",""),"")</f>
        <v/>
      </c>
      <c r="D195" s="3">
        <f>IF(AND(Loads!$A$195=1,Inputs!$C$266&lt;&gt;""),IFERROR(MATCH(Inputs!$C$266&amp;"",Geometry!$B$58:$B$137,0),0),0)</f>
        <v/>
      </c>
      <c r="E195" s="3">
        <f>IF(AND(Loads!$A$195=1,Inputs!$D$266&lt;&gt;""),IFERROR(MATCH(Inputs!$D$266&amp;"",Geometry!$B$58:$B$137,0),0),0)</f>
        <v/>
      </c>
      <c r="F195" s="3">
        <f>IF(AND(Loads!$A$195=1,Loads!$C$195&lt;&gt;"",Loads!$D$195&gt;0,Loads!$E$195&gt;0),1,0)</f>
        <v/>
      </c>
      <c r="G195" s="3">
        <f>IF(Loads!$F$195=1,INDEX(Geometry!$K$58:$K$137,Loads!$D$195),0)</f>
        <v/>
      </c>
      <c r="H195" s="3">
        <f>IF(Loads!$F$195=1,INDEX(Geometry!$L$58:$L$137,Loads!$D$195),0)</f>
        <v/>
      </c>
      <c r="I195" s="3">
        <f>IF(Loads!$F$195=1,INDEX(Geometry!$K$58:$K$137,Loads!$E$195),0)</f>
        <v/>
      </c>
      <c r="J195" s="3">
        <f>IF(Loads!$F$195=1,INDEX(Geometry!$L$58:$L$137,Loads!$E$195),0)</f>
        <v/>
      </c>
      <c r="K195" s="3">
        <f>SQRT((Loads!$I$195-Loads!$G$195)^2+(Loads!$J$195-Loads!$H$195)^2)</f>
        <v/>
      </c>
      <c r="L195" s="3">
        <f>IF(Loads!$K$195&lt;1E-9,0,(Loads!$I$195-Loads!$G$195)/Loads!$K$195)</f>
        <v/>
      </c>
      <c r="M195" s="3">
        <f>IF(Loads!$K$195&lt;1E-9,0,(Loads!$J$195-Loads!$H$195)/Loads!$K$195)</f>
        <v/>
      </c>
      <c r="N195" s="3">
        <f>IF(Loads!$F$195=1,Inputs!$E$266+0,0)</f>
        <v/>
      </c>
      <c r="O195" s="3">
        <f>IF(AND(Loads!$F$195=1,Loads!$C$195="fixed"),INDEX(Loads!$K$125:$K$132,MATCH(Loads!$B$195,Loads!$C$125:$C$132,0)),0)</f>
        <v/>
      </c>
      <c r="P195" s="3">
        <f>Loads!$O$195*Loads!$L$195*Loads!$N$195</f>
        <v/>
      </c>
      <c r="Q195" s="3">
        <f>Loads!$O$195*Loads!$M$195*Loads!$N$195</f>
        <v/>
      </c>
      <c r="R195" s="3">
        <f>IF(Loads!$C$195="solve",Loads!$L$195*Loads!$N$195,0)</f>
        <v/>
      </c>
      <c r="S195" s="3">
        <f>IF(Loads!$C$195="solve",Loads!$M$195*Loads!$N$195,0)</f>
        <v/>
      </c>
      <c r="T195" s="3">
        <f>IF(Loads!$F$195=1,Loads!$K$195*MAX(1,INT(Loads!$N$195)),0)</f>
        <v/>
      </c>
      <c r="U195" s="3">
        <f>IF(Loads!$F$195=1,SUMIFS(Loads!$F$139:$F$146,Loads!$C$139:$C$146,Loads!$B$195),0)</f>
        <v/>
      </c>
      <c r="V195" s="3">
        <f>Loads!$T$195*Loads!$U$195/2000</f>
        <v/>
      </c>
      <c r="W195" s="3">
        <f>IF(Loads!$F$195=1,IF(INDEX(Inputs!$K$138:$K$217,Loads!$D$195)=1,Inputs!$C$266&amp;"",IF(INDEX(Inputs!$K$138:$K$217,Loads!$E$195)=1,Inputs!$D$266&amp;"","")),"")</f>
        <v/>
      </c>
      <c r="X195" s="3">
        <f>IF(Loads!$W$195&lt;&gt;"",1,0)</f>
        <v/>
      </c>
      <c r="Y195" s="3">
        <f>IF(Loads!$X$195=1,SUMIFS(Loads!$X$153:X195,Loads!$B$153:B195,Loads!$B$195),0)</f>
        <v/>
      </c>
      <c r="Z195" s="3">
        <f>IF(AND(Loads!$X$195=1,Loads!$Y$195=1),Loads!$B$195,"")</f>
        <v/>
      </c>
    </row>
    <row r="196">
      <c r="A196" s="3">
        <f>Inputs!$A$267</f>
        <v/>
      </c>
      <c r="B196" s="3">
        <f>IF(Loads!$A$196=1,Inputs!$B$267&amp;"","")</f>
        <v/>
      </c>
      <c r="C196" s="3">
        <f>IF(AND(Loads!$A$196=1,Loads!$B$196&lt;&gt;""),IFERROR(INDEX(Loads!$D$125:$D$132,MATCH(Loads!$B$196,Loads!$C$125:$C$132,0))&amp;"",""),"")</f>
        <v/>
      </c>
      <c r="D196" s="3">
        <f>IF(AND(Loads!$A$196=1,Inputs!$C$267&lt;&gt;""),IFERROR(MATCH(Inputs!$C$267&amp;"",Geometry!$B$58:$B$137,0),0),0)</f>
        <v/>
      </c>
      <c r="E196" s="3">
        <f>IF(AND(Loads!$A$196=1,Inputs!$D$267&lt;&gt;""),IFERROR(MATCH(Inputs!$D$267&amp;"",Geometry!$B$58:$B$137,0),0),0)</f>
        <v/>
      </c>
      <c r="F196" s="3">
        <f>IF(AND(Loads!$A$196=1,Loads!$C$196&lt;&gt;"",Loads!$D$196&gt;0,Loads!$E$196&gt;0),1,0)</f>
        <v/>
      </c>
      <c r="G196" s="3">
        <f>IF(Loads!$F$196=1,INDEX(Geometry!$K$58:$K$137,Loads!$D$196),0)</f>
        <v/>
      </c>
      <c r="H196" s="3">
        <f>IF(Loads!$F$196=1,INDEX(Geometry!$L$58:$L$137,Loads!$D$196),0)</f>
        <v/>
      </c>
      <c r="I196" s="3">
        <f>IF(Loads!$F$196=1,INDEX(Geometry!$K$58:$K$137,Loads!$E$196),0)</f>
        <v/>
      </c>
      <c r="J196" s="3">
        <f>IF(Loads!$F$196=1,INDEX(Geometry!$L$58:$L$137,Loads!$E$196),0)</f>
        <v/>
      </c>
      <c r="K196" s="3">
        <f>SQRT((Loads!$I$196-Loads!$G$196)^2+(Loads!$J$196-Loads!$H$196)^2)</f>
        <v/>
      </c>
      <c r="L196" s="3">
        <f>IF(Loads!$K$196&lt;1E-9,0,(Loads!$I$196-Loads!$G$196)/Loads!$K$196)</f>
        <v/>
      </c>
      <c r="M196" s="3">
        <f>IF(Loads!$K$196&lt;1E-9,0,(Loads!$J$196-Loads!$H$196)/Loads!$K$196)</f>
        <v/>
      </c>
      <c r="N196" s="3">
        <f>IF(Loads!$F$196=1,Inputs!$E$267+0,0)</f>
        <v/>
      </c>
      <c r="O196" s="3">
        <f>IF(AND(Loads!$F$196=1,Loads!$C$196="fixed"),INDEX(Loads!$K$125:$K$132,MATCH(Loads!$B$196,Loads!$C$125:$C$132,0)),0)</f>
        <v/>
      </c>
      <c r="P196" s="3">
        <f>Loads!$O$196*Loads!$L$196*Loads!$N$196</f>
        <v/>
      </c>
      <c r="Q196" s="3">
        <f>Loads!$O$196*Loads!$M$196*Loads!$N$196</f>
        <v/>
      </c>
      <c r="R196" s="3">
        <f>IF(Loads!$C$196="solve",Loads!$L$196*Loads!$N$196,0)</f>
        <v/>
      </c>
      <c r="S196" s="3">
        <f>IF(Loads!$C$196="solve",Loads!$M$196*Loads!$N$196,0)</f>
        <v/>
      </c>
      <c r="T196" s="3">
        <f>IF(Loads!$F$196=1,Loads!$K$196*MAX(1,INT(Loads!$N$196)),0)</f>
        <v/>
      </c>
      <c r="U196" s="3">
        <f>IF(Loads!$F$196=1,SUMIFS(Loads!$F$139:$F$146,Loads!$C$139:$C$146,Loads!$B$196),0)</f>
        <v/>
      </c>
      <c r="V196" s="3">
        <f>Loads!$T$196*Loads!$U$196/2000</f>
        <v/>
      </c>
      <c r="W196" s="3">
        <f>IF(Loads!$F$196=1,IF(INDEX(Inputs!$K$138:$K$217,Loads!$D$196)=1,Inputs!$C$267&amp;"",IF(INDEX(Inputs!$K$138:$K$217,Loads!$E$196)=1,Inputs!$D$267&amp;"","")),"")</f>
        <v/>
      </c>
      <c r="X196" s="3">
        <f>IF(Loads!$W$196&lt;&gt;"",1,0)</f>
        <v/>
      </c>
      <c r="Y196" s="3">
        <f>IF(Loads!$X$196=1,SUMIFS(Loads!$X$153:X196,Loads!$B$153:B196,Loads!$B$196),0)</f>
        <v/>
      </c>
      <c r="Z196" s="3">
        <f>IF(AND(Loads!$X$196=1,Loads!$Y$196=1),Loads!$B$196,"")</f>
        <v/>
      </c>
    </row>
    <row r="197">
      <c r="A197" s="3">
        <f>Inputs!$A$268</f>
        <v/>
      </c>
      <c r="B197" s="3">
        <f>IF(Loads!$A$197=1,Inputs!$B$268&amp;"","")</f>
        <v/>
      </c>
      <c r="C197" s="3">
        <f>IF(AND(Loads!$A$197=1,Loads!$B$197&lt;&gt;""),IFERROR(INDEX(Loads!$D$125:$D$132,MATCH(Loads!$B$197,Loads!$C$125:$C$132,0))&amp;"",""),"")</f>
        <v/>
      </c>
      <c r="D197" s="3">
        <f>IF(AND(Loads!$A$197=1,Inputs!$C$268&lt;&gt;""),IFERROR(MATCH(Inputs!$C$268&amp;"",Geometry!$B$58:$B$137,0),0),0)</f>
        <v/>
      </c>
      <c r="E197" s="3">
        <f>IF(AND(Loads!$A$197=1,Inputs!$D$268&lt;&gt;""),IFERROR(MATCH(Inputs!$D$268&amp;"",Geometry!$B$58:$B$137,0),0),0)</f>
        <v/>
      </c>
      <c r="F197" s="3">
        <f>IF(AND(Loads!$A$197=1,Loads!$C$197&lt;&gt;"",Loads!$D$197&gt;0,Loads!$E$197&gt;0),1,0)</f>
        <v/>
      </c>
      <c r="G197" s="3">
        <f>IF(Loads!$F$197=1,INDEX(Geometry!$K$58:$K$137,Loads!$D$197),0)</f>
        <v/>
      </c>
      <c r="H197" s="3">
        <f>IF(Loads!$F$197=1,INDEX(Geometry!$L$58:$L$137,Loads!$D$197),0)</f>
        <v/>
      </c>
      <c r="I197" s="3">
        <f>IF(Loads!$F$197=1,INDEX(Geometry!$K$58:$K$137,Loads!$E$197),0)</f>
        <v/>
      </c>
      <c r="J197" s="3">
        <f>IF(Loads!$F$197=1,INDEX(Geometry!$L$58:$L$137,Loads!$E$197),0)</f>
        <v/>
      </c>
      <c r="K197" s="3">
        <f>SQRT((Loads!$I$197-Loads!$G$197)^2+(Loads!$J$197-Loads!$H$197)^2)</f>
        <v/>
      </c>
      <c r="L197" s="3">
        <f>IF(Loads!$K$197&lt;1E-9,0,(Loads!$I$197-Loads!$G$197)/Loads!$K$197)</f>
        <v/>
      </c>
      <c r="M197" s="3">
        <f>IF(Loads!$K$197&lt;1E-9,0,(Loads!$J$197-Loads!$H$197)/Loads!$K$197)</f>
        <v/>
      </c>
      <c r="N197" s="3">
        <f>IF(Loads!$F$197=1,Inputs!$E$268+0,0)</f>
        <v/>
      </c>
      <c r="O197" s="3">
        <f>IF(AND(Loads!$F$197=1,Loads!$C$197="fixed"),INDEX(Loads!$K$125:$K$132,MATCH(Loads!$B$197,Loads!$C$125:$C$132,0)),0)</f>
        <v/>
      </c>
      <c r="P197" s="3">
        <f>Loads!$O$197*Loads!$L$197*Loads!$N$197</f>
        <v/>
      </c>
      <c r="Q197" s="3">
        <f>Loads!$O$197*Loads!$M$197*Loads!$N$197</f>
        <v/>
      </c>
      <c r="R197" s="3">
        <f>IF(Loads!$C$197="solve",Loads!$L$197*Loads!$N$197,0)</f>
        <v/>
      </c>
      <c r="S197" s="3">
        <f>IF(Loads!$C$197="solve",Loads!$M$197*Loads!$N$197,0)</f>
        <v/>
      </c>
      <c r="T197" s="3">
        <f>IF(Loads!$F$197=1,Loads!$K$197*MAX(1,INT(Loads!$N$197)),0)</f>
        <v/>
      </c>
      <c r="U197" s="3">
        <f>IF(Loads!$F$197=1,SUMIFS(Loads!$F$139:$F$146,Loads!$C$139:$C$146,Loads!$B$197),0)</f>
        <v/>
      </c>
      <c r="V197" s="3">
        <f>Loads!$T$197*Loads!$U$197/2000</f>
        <v/>
      </c>
      <c r="W197" s="3">
        <f>IF(Loads!$F$197=1,IF(INDEX(Inputs!$K$138:$K$217,Loads!$D$197)=1,Inputs!$C$268&amp;"",IF(INDEX(Inputs!$K$138:$K$217,Loads!$E$197)=1,Inputs!$D$268&amp;"","")),"")</f>
        <v/>
      </c>
      <c r="X197" s="3">
        <f>IF(Loads!$W$197&lt;&gt;"",1,0)</f>
        <v/>
      </c>
      <c r="Y197" s="3">
        <f>IF(Loads!$X$197=1,SUMIFS(Loads!$X$153:X197,Loads!$B$153:B197,Loads!$B$197),0)</f>
        <v/>
      </c>
      <c r="Z197" s="3">
        <f>IF(AND(Loads!$X$197=1,Loads!$Y$197=1),Loads!$B$197,"")</f>
        <v/>
      </c>
    </row>
    <row r="198">
      <c r="A198" s="3">
        <f>Inputs!$A$269</f>
        <v/>
      </c>
      <c r="B198" s="3">
        <f>IF(Loads!$A$198=1,Inputs!$B$269&amp;"","")</f>
        <v/>
      </c>
      <c r="C198" s="3">
        <f>IF(AND(Loads!$A$198=1,Loads!$B$198&lt;&gt;""),IFERROR(INDEX(Loads!$D$125:$D$132,MATCH(Loads!$B$198,Loads!$C$125:$C$132,0))&amp;"",""),"")</f>
        <v/>
      </c>
      <c r="D198" s="3">
        <f>IF(AND(Loads!$A$198=1,Inputs!$C$269&lt;&gt;""),IFERROR(MATCH(Inputs!$C$269&amp;"",Geometry!$B$58:$B$137,0),0),0)</f>
        <v/>
      </c>
      <c r="E198" s="3">
        <f>IF(AND(Loads!$A$198=1,Inputs!$D$269&lt;&gt;""),IFERROR(MATCH(Inputs!$D$269&amp;"",Geometry!$B$58:$B$137,0),0),0)</f>
        <v/>
      </c>
      <c r="F198" s="3">
        <f>IF(AND(Loads!$A$198=1,Loads!$C$198&lt;&gt;"",Loads!$D$198&gt;0,Loads!$E$198&gt;0),1,0)</f>
        <v/>
      </c>
      <c r="G198" s="3">
        <f>IF(Loads!$F$198=1,INDEX(Geometry!$K$58:$K$137,Loads!$D$198),0)</f>
        <v/>
      </c>
      <c r="H198" s="3">
        <f>IF(Loads!$F$198=1,INDEX(Geometry!$L$58:$L$137,Loads!$D$198),0)</f>
        <v/>
      </c>
      <c r="I198" s="3">
        <f>IF(Loads!$F$198=1,INDEX(Geometry!$K$58:$K$137,Loads!$E$198),0)</f>
        <v/>
      </c>
      <c r="J198" s="3">
        <f>IF(Loads!$F$198=1,INDEX(Geometry!$L$58:$L$137,Loads!$E$198),0)</f>
        <v/>
      </c>
      <c r="K198" s="3">
        <f>SQRT((Loads!$I$198-Loads!$G$198)^2+(Loads!$J$198-Loads!$H$198)^2)</f>
        <v/>
      </c>
      <c r="L198" s="3">
        <f>IF(Loads!$K$198&lt;1E-9,0,(Loads!$I$198-Loads!$G$198)/Loads!$K$198)</f>
        <v/>
      </c>
      <c r="M198" s="3">
        <f>IF(Loads!$K$198&lt;1E-9,0,(Loads!$J$198-Loads!$H$198)/Loads!$K$198)</f>
        <v/>
      </c>
      <c r="N198" s="3">
        <f>IF(Loads!$F$198=1,Inputs!$E$269+0,0)</f>
        <v/>
      </c>
      <c r="O198" s="3">
        <f>IF(AND(Loads!$F$198=1,Loads!$C$198="fixed"),INDEX(Loads!$K$125:$K$132,MATCH(Loads!$B$198,Loads!$C$125:$C$132,0)),0)</f>
        <v/>
      </c>
      <c r="P198" s="3">
        <f>Loads!$O$198*Loads!$L$198*Loads!$N$198</f>
        <v/>
      </c>
      <c r="Q198" s="3">
        <f>Loads!$O$198*Loads!$M$198*Loads!$N$198</f>
        <v/>
      </c>
      <c r="R198" s="3">
        <f>IF(Loads!$C$198="solve",Loads!$L$198*Loads!$N$198,0)</f>
        <v/>
      </c>
      <c r="S198" s="3">
        <f>IF(Loads!$C$198="solve",Loads!$M$198*Loads!$N$198,0)</f>
        <v/>
      </c>
      <c r="T198" s="3">
        <f>IF(Loads!$F$198=1,Loads!$K$198*MAX(1,INT(Loads!$N$198)),0)</f>
        <v/>
      </c>
      <c r="U198" s="3">
        <f>IF(Loads!$F$198=1,SUMIFS(Loads!$F$139:$F$146,Loads!$C$139:$C$146,Loads!$B$198),0)</f>
        <v/>
      </c>
      <c r="V198" s="3">
        <f>Loads!$T$198*Loads!$U$198/2000</f>
        <v/>
      </c>
      <c r="W198" s="3">
        <f>IF(Loads!$F$198=1,IF(INDEX(Inputs!$K$138:$K$217,Loads!$D$198)=1,Inputs!$C$269&amp;"",IF(INDEX(Inputs!$K$138:$K$217,Loads!$E$198)=1,Inputs!$D$269&amp;"","")),"")</f>
        <v/>
      </c>
      <c r="X198" s="3">
        <f>IF(Loads!$W$198&lt;&gt;"",1,0)</f>
        <v/>
      </c>
      <c r="Y198" s="3">
        <f>IF(Loads!$X$198=1,SUMIFS(Loads!$X$153:X198,Loads!$B$153:B198,Loads!$B$198),0)</f>
        <v/>
      </c>
      <c r="Z198" s="3">
        <f>IF(AND(Loads!$X$198=1,Loads!$Y$198=1),Loads!$B$198,"")</f>
        <v/>
      </c>
    </row>
    <row r="199">
      <c r="A199" s="3">
        <f>Inputs!$A$270</f>
        <v/>
      </c>
      <c r="B199" s="3">
        <f>IF(Loads!$A$199=1,Inputs!$B$270&amp;"","")</f>
        <v/>
      </c>
      <c r="C199" s="3">
        <f>IF(AND(Loads!$A$199=1,Loads!$B$199&lt;&gt;""),IFERROR(INDEX(Loads!$D$125:$D$132,MATCH(Loads!$B$199,Loads!$C$125:$C$132,0))&amp;"",""),"")</f>
        <v/>
      </c>
      <c r="D199" s="3">
        <f>IF(AND(Loads!$A$199=1,Inputs!$C$270&lt;&gt;""),IFERROR(MATCH(Inputs!$C$270&amp;"",Geometry!$B$58:$B$137,0),0),0)</f>
        <v/>
      </c>
      <c r="E199" s="3">
        <f>IF(AND(Loads!$A$199=1,Inputs!$D$270&lt;&gt;""),IFERROR(MATCH(Inputs!$D$270&amp;"",Geometry!$B$58:$B$137,0),0),0)</f>
        <v/>
      </c>
      <c r="F199" s="3">
        <f>IF(AND(Loads!$A$199=1,Loads!$C$199&lt;&gt;"",Loads!$D$199&gt;0,Loads!$E$199&gt;0),1,0)</f>
        <v/>
      </c>
      <c r="G199" s="3">
        <f>IF(Loads!$F$199=1,INDEX(Geometry!$K$58:$K$137,Loads!$D$199),0)</f>
        <v/>
      </c>
      <c r="H199" s="3">
        <f>IF(Loads!$F$199=1,INDEX(Geometry!$L$58:$L$137,Loads!$D$199),0)</f>
        <v/>
      </c>
      <c r="I199" s="3">
        <f>IF(Loads!$F$199=1,INDEX(Geometry!$K$58:$K$137,Loads!$E$199),0)</f>
        <v/>
      </c>
      <c r="J199" s="3">
        <f>IF(Loads!$F$199=1,INDEX(Geometry!$L$58:$L$137,Loads!$E$199),0)</f>
        <v/>
      </c>
      <c r="K199" s="3">
        <f>SQRT((Loads!$I$199-Loads!$G$199)^2+(Loads!$J$199-Loads!$H$199)^2)</f>
        <v/>
      </c>
      <c r="L199" s="3">
        <f>IF(Loads!$K$199&lt;1E-9,0,(Loads!$I$199-Loads!$G$199)/Loads!$K$199)</f>
        <v/>
      </c>
      <c r="M199" s="3">
        <f>IF(Loads!$K$199&lt;1E-9,0,(Loads!$J$199-Loads!$H$199)/Loads!$K$199)</f>
        <v/>
      </c>
      <c r="N199" s="3">
        <f>IF(Loads!$F$199=1,Inputs!$E$270+0,0)</f>
        <v/>
      </c>
      <c r="O199" s="3">
        <f>IF(AND(Loads!$F$199=1,Loads!$C$199="fixed"),INDEX(Loads!$K$125:$K$132,MATCH(Loads!$B$199,Loads!$C$125:$C$132,0)),0)</f>
        <v/>
      </c>
      <c r="P199" s="3">
        <f>Loads!$O$199*Loads!$L$199*Loads!$N$199</f>
        <v/>
      </c>
      <c r="Q199" s="3">
        <f>Loads!$O$199*Loads!$M$199*Loads!$N$199</f>
        <v/>
      </c>
      <c r="R199" s="3">
        <f>IF(Loads!$C$199="solve",Loads!$L$199*Loads!$N$199,0)</f>
        <v/>
      </c>
      <c r="S199" s="3">
        <f>IF(Loads!$C$199="solve",Loads!$M$199*Loads!$N$199,0)</f>
        <v/>
      </c>
      <c r="T199" s="3">
        <f>IF(Loads!$F$199=1,Loads!$K$199*MAX(1,INT(Loads!$N$199)),0)</f>
        <v/>
      </c>
      <c r="U199" s="3">
        <f>IF(Loads!$F$199=1,SUMIFS(Loads!$F$139:$F$146,Loads!$C$139:$C$146,Loads!$B$199),0)</f>
        <v/>
      </c>
      <c r="V199" s="3">
        <f>Loads!$T$199*Loads!$U$199/2000</f>
        <v/>
      </c>
      <c r="W199" s="3">
        <f>IF(Loads!$F$199=1,IF(INDEX(Inputs!$K$138:$K$217,Loads!$D$199)=1,Inputs!$C$270&amp;"",IF(INDEX(Inputs!$K$138:$K$217,Loads!$E$199)=1,Inputs!$D$270&amp;"","")),"")</f>
        <v/>
      </c>
      <c r="X199" s="3">
        <f>IF(Loads!$W$199&lt;&gt;"",1,0)</f>
        <v/>
      </c>
      <c r="Y199" s="3">
        <f>IF(Loads!$X$199=1,SUMIFS(Loads!$X$153:X199,Loads!$B$153:B199,Loads!$B$199),0)</f>
        <v/>
      </c>
      <c r="Z199" s="3">
        <f>IF(AND(Loads!$X$199=1,Loads!$Y$199=1),Loads!$B$199,"")</f>
        <v/>
      </c>
    </row>
    <row r="200">
      <c r="A200" s="3">
        <f>Inputs!$A$271</f>
        <v/>
      </c>
      <c r="B200" s="3">
        <f>IF(Loads!$A$200=1,Inputs!$B$271&amp;"","")</f>
        <v/>
      </c>
      <c r="C200" s="3">
        <f>IF(AND(Loads!$A$200=1,Loads!$B$200&lt;&gt;""),IFERROR(INDEX(Loads!$D$125:$D$132,MATCH(Loads!$B$200,Loads!$C$125:$C$132,0))&amp;"",""),"")</f>
        <v/>
      </c>
      <c r="D200" s="3">
        <f>IF(AND(Loads!$A$200=1,Inputs!$C$271&lt;&gt;""),IFERROR(MATCH(Inputs!$C$271&amp;"",Geometry!$B$58:$B$137,0),0),0)</f>
        <v/>
      </c>
      <c r="E200" s="3">
        <f>IF(AND(Loads!$A$200=1,Inputs!$D$271&lt;&gt;""),IFERROR(MATCH(Inputs!$D$271&amp;"",Geometry!$B$58:$B$137,0),0),0)</f>
        <v/>
      </c>
      <c r="F200" s="3">
        <f>IF(AND(Loads!$A$200=1,Loads!$C$200&lt;&gt;"",Loads!$D$200&gt;0,Loads!$E$200&gt;0),1,0)</f>
        <v/>
      </c>
      <c r="G200" s="3">
        <f>IF(Loads!$F$200=1,INDEX(Geometry!$K$58:$K$137,Loads!$D$200),0)</f>
        <v/>
      </c>
      <c r="H200" s="3">
        <f>IF(Loads!$F$200=1,INDEX(Geometry!$L$58:$L$137,Loads!$D$200),0)</f>
        <v/>
      </c>
      <c r="I200" s="3">
        <f>IF(Loads!$F$200=1,INDEX(Geometry!$K$58:$K$137,Loads!$E$200),0)</f>
        <v/>
      </c>
      <c r="J200" s="3">
        <f>IF(Loads!$F$200=1,INDEX(Geometry!$L$58:$L$137,Loads!$E$200),0)</f>
        <v/>
      </c>
      <c r="K200" s="3">
        <f>SQRT((Loads!$I$200-Loads!$G$200)^2+(Loads!$J$200-Loads!$H$200)^2)</f>
        <v/>
      </c>
      <c r="L200" s="3">
        <f>IF(Loads!$K$200&lt;1E-9,0,(Loads!$I$200-Loads!$G$200)/Loads!$K$200)</f>
        <v/>
      </c>
      <c r="M200" s="3">
        <f>IF(Loads!$K$200&lt;1E-9,0,(Loads!$J$200-Loads!$H$200)/Loads!$K$200)</f>
        <v/>
      </c>
      <c r="N200" s="3">
        <f>IF(Loads!$F$200=1,Inputs!$E$271+0,0)</f>
        <v/>
      </c>
      <c r="O200" s="3">
        <f>IF(AND(Loads!$F$200=1,Loads!$C$200="fixed"),INDEX(Loads!$K$125:$K$132,MATCH(Loads!$B$200,Loads!$C$125:$C$132,0)),0)</f>
        <v/>
      </c>
      <c r="P200" s="3">
        <f>Loads!$O$200*Loads!$L$200*Loads!$N$200</f>
        <v/>
      </c>
      <c r="Q200" s="3">
        <f>Loads!$O$200*Loads!$M$200*Loads!$N$200</f>
        <v/>
      </c>
      <c r="R200" s="3">
        <f>IF(Loads!$C$200="solve",Loads!$L$200*Loads!$N$200,0)</f>
        <v/>
      </c>
      <c r="S200" s="3">
        <f>IF(Loads!$C$200="solve",Loads!$M$200*Loads!$N$200,0)</f>
        <v/>
      </c>
      <c r="T200" s="3">
        <f>IF(Loads!$F$200=1,Loads!$K$200*MAX(1,INT(Loads!$N$200)),0)</f>
        <v/>
      </c>
      <c r="U200" s="3">
        <f>IF(Loads!$F$200=1,SUMIFS(Loads!$F$139:$F$146,Loads!$C$139:$C$146,Loads!$B$200),0)</f>
        <v/>
      </c>
      <c r="V200" s="3">
        <f>Loads!$T$200*Loads!$U$200/2000</f>
        <v/>
      </c>
      <c r="W200" s="3">
        <f>IF(Loads!$F$200=1,IF(INDEX(Inputs!$K$138:$K$217,Loads!$D$200)=1,Inputs!$C$271&amp;"",IF(INDEX(Inputs!$K$138:$K$217,Loads!$E$200)=1,Inputs!$D$271&amp;"","")),"")</f>
        <v/>
      </c>
      <c r="X200" s="3">
        <f>IF(Loads!$W$200&lt;&gt;"",1,0)</f>
        <v/>
      </c>
      <c r="Y200" s="3">
        <f>IF(Loads!$X$200=1,SUMIFS(Loads!$X$153:X200,Loads!$B$153:B200,Loads!$B$200),0)</f>
        <v/>
      </c>
      <c r="Z200" s="3">
        <f>IF(AND(Loads!$X$200=1,Loads!$Y$200=1),Loads!$B$200,"")</f>
        <v/>
      </c>
    </row>
    <row r="201">
      <c r="A201" s="3">
        <f>Inputs!$A$272</f>
        <v/>
      </c>
      <c r="B201" s="3">
        <f>IF(Loads!$A$201=1,Inputs!$B$272&amp;"","")</f>
        <v/>
      </c>
      <c r="C201" s="3">
        <f>IF(AND(Loads!$A$201=1,Loads!$B$201&lt;&gt;""),IFERROR(INDEX(Loads!$D$125:$D$132,MATCH(Loads!$B$201,Loads!$C$125:$C$132,0))&amp;"",""),"")</f>
        <v/>
      </c>
      <c r="D201" s="3">
        <f>IF(AND(Loads!$A$201=1,Inputs!$C$272&lt;&gt;""),IFERROR(MATCH(Inputs!$C$272&amp;"",Geometry!$B$58:$B$137,0),0),0)</f>
        <v/>
      </c>
      <c r="E201" s="3">
        <f>IF(AND(Loads!$A$201=1,Inputs!$D$272&lt;&gt;""),IFERROR(MATCH(Inputs!$D$272&amp;"",Geometry!$B$58:$B$137,0),0),0)</f>
        <v/>
      </c>
      <c r="F201" s="3">
        <f>IF(AND(Loads!$A$201=1,Loads!$C$201&lt;&gt;"",Loads!$D$201&gt;0,Loads!$E$201&gt;0),1,0)</f>
        <v/>
      </c>
      <c r="G201" s="3">
        <f>IF(Loads!$F$201=1,INDEX(Geometry!$K$58:$K$137,Loads!$D$201),0)</f>
        <v/>
      </c>
      <c r="H201" s="3">
        <f>IF(Loads!$F$201=1,INDEX(Geometry!$L$58:$L$137,Loads!$D$201),0)</f>
        <v/>
      </c>
      <c r="I201" s="3">
        <f>IF(Loads!$F$201=1,INDEX(Geometry!$K$58:$K$137,Loads!$E$201),0)</f>
        <v/>
      </c>
      <c r="J201" s="3">
        <f>IF(Loads!$F$201=1,INDEX(Geometry!$L$58:$L$137,Loads!$E$201),0)</f>
        <v/>
      </c>
      <c r="K201" s="3">
        <f>SQRT((Loads!$I$201-Loads!$G$201)^2+(Loads!$J$201-Loads!$H$201)^2)</f>
        <v/>
      </c>
      <c r="L201" s="3">
        <f>IF(Loads!$K$201&lt;1E-9,0,(Loads!$I$201-Loads!$G$201)/Loads!$K$201)</f>
        <v/>
      </c>
      <c r="M201" s="3">
        <f>IF(Loads!$K$201&lt;1E-9,0,(Loads!$J$201-Loads!$H$201)/Loads!$K$201)</f>
        <v/>
      </c>
      <c r="N201" s="3">
        <f>IF(Loads!$F$201=1,Inputs!$E$272+0,0)</f>
        <v/>
      </c>
      <c r="O201" s="3">
        <f>IF(AND(Loads!$F$201=1,Loads!$C$201="fixed"),INDEX(Loads!$K$125:$K$132,MATCH(Loads!$B$201,Loads!$C$125:$C$132,0)),0)</f>
        <v/>
      </c>
      <c r="P201" s="3">
        <f>Loads!$O$201*Loads!$L$201*Loads!$N$201</f>
        <v/>
      </c>
      <c r="Q201" s="3">
        <f>Loads!$O$201*Loads!$M$201*Loads!$N$201</f>
        <v/>
      </c>
      <c r="R201" s="3">
        <f>IF(Loads!$C$201="solve",Loads!$L$201*Loads!$N$201,0)</f>
        <v/>
      </c>
      <c r="S201" s="3">
        <f>IF(Loads!$C$201="solve",Loads!$M$201*Loads!$N$201,0)</f>
        <v/>
      </c>
      <c r="T201" s="3">
        <f>IF(Loads!$F$201=1,Loads!$K$201*MAX(1,INT(Loads!$N$201)),0)</f>
        <v/>
      </c>
      <c r="U201" s="3">
        <f>IF(Loads!$F$201=1,SUMIFS(Loads!$F$139:$F$146,Loads!$C$139:$C$146,Loads!$B$201),0)</f>
        <v/>
      </c>
      <c r="V201" s="3">
        <f>Loads!$T$201*Loads!$U$201/2000</f>
        <v/>
      </c>
      <c r="W201" s="3">
        <f>IF(Loads!$F$201=1,IF(INDEX(Inputs!$K$138:$K$217,Loads!$D$201)=1,Inputs!$C$272&amp;"",IF(INDEX(Inputs!$K$138:$K$217,Loads!$E$201)=1,Inputs!$D$272&amp;"","")),"")</f>
        <v/>
      </c>
      <c r="X201" s="3">
        <f>IF(Loads!$W$201&lt;&gt;"",1,0)</f>
        <v/>
      </c>
      <c r="Y201" s="3">
        <f>IF(Loads!$X$201=1,SUMIFS(Loads!$X$153:X201,Loads!$B$153:B201,Loads!$B$201),0)</f>
        <v/>
      </c>
      <c r="Z201" s="3">
        <f>IF(AND(Loads!$X$201=1,Loads!$Y$201=1),Loads!$B$201,"")</f>
        <v/>
      </c>
    </row>
    <row r="202">
      <c r="A202" s="3">
        <f>Inputs!$A$273</f>
        <v/>
      </c>
      <c r="B202" s="3">
        <f>IF(Loads!$A$202=1,Inputs!$B$273&amp;"","")</f>
        <v/>
      </c>
      <c r="C202" s="3">
        <f>IF(AND(Loads!$A$202=1,Loads!$B$202&lt;&gt;""),IFERROR(INDEX(Loads!$D$125:$D$132,MATCH(Loads!$B$202,Loads!$C$125:$C$132,0))&amp;"",""),"")</f>
        <v/>
      </c>
      <c r="D202" s="3">
        <f>IF(AND(Loads!$A$202=1,Inputs!$C$273&lt;&gt;""),IFERROR(MATCH(Inputs!$C$273&amp;"",Geometry!$B$58:$B$137,0),0),0)</f>
        <v/>
      </c>
      <c r="E202" s="3">
        <f>IF(AND(Loads!$A$202=1,Inputs!$D$273&lt;&gt;""),IFERROR(MATCH(Inputs!$D$273&amp;"",Geometry!$B$58:$B$137,0),0),0)</f>
        <v/>
      </c>
      <c r="F202" s="3">
        <f>IF(AND(Loads!$A$202=1,Loads!$C$202&lt;&gt;"",Loads!$D$202&gt;0,Loads!$E$202&gt;0),1,0)</f>
        <v/>
      </c>
      <c r="G202" s="3">
        <f>IF(Loads!$F$202=1,INDEX(Geometry!$K$58:$K$137,Loads!$D$202),0)</f>
        <v/>
      </c>
      <c r="H202" s="3">
        <f>IF(Loads!$F$202=1,INDEX(Geometry!$L$58:$L$137,Loads!$D$202),0)</f>
        <v/>
      </c>
      <c r="I202" s="3">
        <f>IF(Loads!$F$202=1,INDEX(Geometry!$K$58:$K$137,Loads!$E$202),0)</f>
        <v/>
      </c>
      <c r="J202" s="3">
        <f>IF(Loads!$F$202=1,INDEX(Geometry!$L$58:$L$137,Loads!$E$202),0)</f>
        <v/>
      </c>
      <c r="K202" s="3">
        <f>SQRT((Loads!$I$202-Loads!$G$202)^2+(Loads!$J$202-Loads!$H$202)^2)</f>
        <v/>
      </c>
      <c r="L202" s="3">
        <f>IF(Loads!$K$202&lt;1E-9,0,(Loads!$I$202-Loads!$G$202)/Loads!$K$202)</f>
        <v/>
      </c>
      <c r="M202" s="3">
        <f>IF(Loads!$K$202&lt;1E-9,0,(Loads!$J$202-Loads!$H$202)/Loads!$K$202)</f>
        <v/>
      </c>
      <c r="N202" s="3">
        <f>IF(Loads!$F$202=1,Inputs!$E$273+0,0)</f>
        <v/>
      </c>
      <c r="O202" s="3">
        <f>IF(AND(Loads!$F$202=1,Loads!$C$202="fixed"),INDEX(Loads!$K$125:$K$132,MATCH(Loads!$B$202,Loads!$C$125:$C$132,0)),0)</f>
        <v/>
      </c>
      <c r="P202" s="3">
        <f>Loads!$O$202*Loads!$L$202*Loads!$N$202</f>
        <v/>
      </c>
      <c r="Q202" s="3">
        <f>Loads!$O$202*Loads!$M$202*Loads!$N$202</f>
        <v/>
      </c>
      <c r="R202" s="3">
        <f>IF(Loads!$C$202="solve",Loads!$L$202*Loads!$N$202,0)</f>
        <v/>
      </c>
      <c r="S202" s="3">
        <f>IF(Loads!$C$202="solve",Loads!$M$202*Loads!$N$202,0)</f>
        <v/>
      </c>
      <c r="T202" s="3">
        <f>IF(Loads!$F$202=1,Loads!$K$202*MAX(1,INT(Loads!$N$202)),0)</f>
        <v/>
      </c>
      <c r="U202" s="3">
        <f>IF(Loads!$F$202=1,SUMIFS(Loads!$F$139:$F$146,Loads!$C$139:$C$146,Loads!$B$202),0)</f>
        <v/>
      </c>
      <c r="V202" s="3">
        <f>Loads!$T$202*Loads!$U$202/2000</f>
        <v/>
      </c>
      <c r="W202" s="3">
        <f>IF(Loads!$F$202=1,IF(INDEX(Inputs!$K$138:$K$217,Loads!$D$202)=1,Inputs!$C$273&amp;"",IF(INDEX(Inputs!$K$138:$K$217,Loads!$E$202)=1,Inputs!$D$273&amp;"","")),"")</f>
        <v/>
      </c>
      <c r="X202" s="3">
        <f>IF(Loads!$W$202&lt;&gt;"",1,0)</f>
        <v/>
      </c>
      <c r="Y202" s="3">
        <f>IF(Loads!$X$202=1,SUMIFS(Loads!$X$153:X202,Loads!$B$153:B202,Loads!$B$202),0)</f>
        <v/>
      </c>
      <c r="Z202" s="3">
        <f>IF(AND(Loads!$X$202=1,Loads!$Y$202=1),Loads!$B$202,"")</f>
        <v/>
      </c>
    </row>
    <row r="203">
      <c r="A203" s="3">
        <f>Inputs!$A$274</f>
        <v/>
      </c>
      <c r="B203" s="3">
        <f>IF(Loads!$A$203=1,Inputs!$B$274&amp;"","")</f>
        <v/>
      </c>
      <c r="C203" s="3">
        <f>IF(AND(Loads!$A$203=1,Loads!$B$203&lt;&gt;""),IFERROR(INDEX(Loads!$D$125:$D$132,MATCH(Loads!$B$203,Loads!$C$125:$C$132,0))&amp;"",""),"")</f>
        <v/>
      </c>
      <c r="D203" s="3">
        <f>IF(AND(Loads!$A$203=1,Inputs!$C$274&lt;&gt;""),IFERROR(MATCH(Inputs!$C$274&amp;"",Geometry!$B$58:$B$137,0),0),0)</f>
        <v/>
      </c>
      <c r="E203" s="3">
        <f>IF(AND(Loads!$A$203=1,Inputs!$D$274&lt;&gt;""),IFERROR(MATCH(Inputs!$D$274&amp;"",Geometry!$B$58:$B$137,0),0),0)</f>
        <v/>
      </c>
      <c r="F203" s="3">
        <f>IF(AND(Loads!$A$203=1,Loads!$C$203&lt;&gt;"",Loads!$D$203&gt;0,Loads!$E$203&gt;0),1,0)</f>
        <v/>
      </c>
      <c r="G203" s="3">
        <f>IF(Loads!$F$203=1,INDEX(Geometry!$K$58:$K$137,Loads!$D$203),0)</f>
        <v/>
      </c>
      <c r="H203" s="3">
        <f>IF(Loads!$F$203=1,INDEX(Geometry!$L$58:$L$137,Loads!$D$203),0)</f>
        <v/>
      </c>
      <c r="I203" s="3">
        <f>IF(Loads!$F$203=1,INDEX(Geometry!$K$58:$K$137,Loads!$E$203),0)</f>
        <v/>
      </c>
      <c r="J203" s="3">
        <f>IF(Loads!$F$203=1,INDEX(Geometry!$L$58:$L$137,Loads!$E$203),0)</f>
        <v/>
      </c>
      <c r="K203" s="3">
        <f>SQRT((Loads!$I$203-Loads!$G$203)^2+(Loads!$J$203-Loads!$H$203)^2)</f>
        <v/>
      </c>
      <c r="L203" s="3">
        <f>IF(Loads!$K$203&lt;1E-9,0,(Loads!$I$203-Loads!$G$203)/Loads!$K$203)</f>
        <v/>
      </c>
      <c r="M203" s="3">
        <f>IF(Loads!$K$203&lt;1E-9,0,(Loads!$J$203-Loads!$H$203)/Loads!$K$203)</f>
        <v/>
      </c>
      <c r="N203" s="3">
        <f>IF(Loads!$F$203=1,Inputs!$E$274+0,0)</f>
        <v/>
      </c>
      <c r="O203" s="3">
        <f>IF(AND(Loads!$F$203=1,Loads!$C$203="fixed"),INDEX(Loads!$K$125:$K$132,MATCH(Loads!$B$203,Loads!$C$125:$C$132,0)),0)</f>
        <v/>
      </c>
      <c r="P203" s="3">
        <f>Loads!$O$203*Loads!$L$203*Loads!$N$203</f>
        <v/>
      </c>
      <c r="Q203" s="3">
        <f>Loads!$O$203*Loads!$M$203*Loads!$N$203</f>
        <v/>
      </c>
      <c r="R203" s="3">
        <f>IF(Loads!$C$203="solve",Loads!$L$203*Loads!$N$203,0)</f>
        <v/>
      </c>
      <c r="S203" s="3">
        <f>IF(Loads!$C$203="solve",Loads!$M$203*Loads!$N$203,0)</f>
        <v/>
      </c>
      <c r="T203" s="3">
        <f>IF(Loads!$F$203=1,Loads!$K$203*MAX(1,INT(Loads!$N$203)),0)</f>
        <v/>
      </c>
      <c r="U203" s="3">
        <f>IF(Loads!$F$203=1,SUMIFS(Loads!$F$139:$F$146,Loads!$C$139:$C$146,Loads!$B$203),0)</f>
        <v/>
      </c>
      <c r="V203" s="3">
        <f>Loads!$T$203*Loads!$U$203/2000</f>
        <v/>
      </c>
      <c r="W203" s="3">
        <f>IF(Loads!$F$203=1,IF(INDEX(Inputs!$K$138:$K$217,Loads!$D$203)=1,Inputs!$C$274&amp;"",IF(INDEX(Inputs!$K$138:$K$217,Loads!$E$203)=1,Inputs!$D$274&amp;"","")),"")</f>
        <v/>
      </c>
      <c r="X203" s="3">
        <f>IF(Loads!$W$203&lt;&gt;"",1,0)</f>
        <v/>
      </c>
      <c r="Y203" s="3">
        <f>IF(Loads!$X$203=1,SUMIFS(Loads!$X$153:X203,Loads!$B$153:B203,Loads!$B$203),0)</f>
        <v/>
      </c>
      <c r="Z203" s="3">
        <f>IF(AND(Loads!$X$203=1,Loads!$Y$203=1),Loads!$B$203,"")</f>
        <v/>
      </c>
    </row>
    <row r="204">
      <c r="A204" s="3">
        <f>Inputs!$A$275</f>
        <v/>
      </c>
      <c r="B204" s="3">
        <f>IF(Loads!$A$204=1,Inputs!$B$275&amp;"","")</f>
        <v/>
      </c>
      <c r="C204" s="3">
        <f>IF(AND(Loads!$A$204=1,Loads!$B$204&lt;&gt;""),IFERROR(INDEX(Loads!$D$125:$D$132,MATCH(Loads!$B$204,Loads!$C$125:$C$132,0))&amp;"",""),"")</f>
        <v/>
      </c>
      <c r="D204" s="3">
        <f>IF(AND(Loads!$A$204=1,Inputs!$C$275&lt;&gt;""),IFERROR(MATCH(Inputs!$C$275&amp;"",Geometry!$B$58:$B$137,0),0),0)</f>
        <v/>
      </c>
      <c r="E204" s="3">
        <f>IF(AND(Loads!$A$204=1,Inputs!$D$275&lt;&gt;""),IFERROR(MATCH(Inputs!$D$275&amp;"",Geometry!$B$58:$B$137,0),0),0)</f>
        <v/>
      </c>
      <c r="F204" s="3">
        <f>IF(AND(Loads!$A$204=1,Loads!$C$204&lt;&gt;"",Loads!$D$204&gt;0,Loads!$E$204&gt;0),1,0)</f>
        <v/>
      </c>
      <c r="G204" s="3">
        <f>IF(Loads!$F$204=1,INDEX(Geometry!$K$58:$K$137,Loads!$D$204),0)</f>
        <v/>
      </c>
      <c r="H204" s="3">
        <f>IF(Loads!$F$204=1,INDEX(Geometry!$L$58:$L$137,Loads!$D$204),0)</f>
        <v/>
      </c>
      <c r="I204" s="3">
        <f>IF(Loads!$F$204=1,INDEX(Geometry!$K$58:$K$137,Loads!$E$204),0)</f>
        <v/>
      </c>
      <c r="J204" s="3">
        <f>IF(Loads!$F$204=1,INDEX(Geometry!$L$58:$L$137,Loads!$E$204),0)</f>
        <v/>
      </c>
      <c r="K204" s="3">
        <f>SQRT((Loads!$I$204-Loads!$G$204)^2+(Loads!$J$204-Loads!$H$204)^2)</f>
        <v/>
      </c>
      <c r="L204" s="3">
        <f>IF(Loads!$K$204&lt;1E-9,0,(Loads!$I$204-Loads!$G$204)/Loads!$K$204)</f>
        <v/>
      </c>
      <c r="M204" s="3">
        <f>IF(Loads!$K$204&lt;1E-9,0,(Loads!$J$204-Loads!$H$204)/Loads!$K$204)</f>
        <v/>
      </c>
      <c r="N204" s="3">
        <f>IF(Loads!$F$204=1,Inputs!$E$275+0,0)</f>
        <v/>
      </c>
      <c r="O204" s="3">
        <f>IF(AND(Loads!$F$204=1,Loads!$C$204="fixed"),INDEX(Loads!$K$125:$K$132,MATCH(Loads!$B$204,Loads!$C$125:$C$132,0)),0)</f>
        <v/>
      </c>
      <c r="P204" s="3">
        <f>Loads!$O$204*Loads!$L$204*Loads!$N$204</f>
        <v/>
      </c>
      <c r="Q204" s="3">
        <f>Loads!$O$204*Loads!$M$204*Loads!$N$204</f>
        <v/>
      </c>
      <c r="R204" s="3">
        <f>IF(Loads!$C$204="solve",Loads!$L$204*Loads!$N$204,0)</f>
        <v/>
      </c>
      <c r="S204" s="3">
        <f>IF(Loads!$C$204="solve",Loads!$M$204*Loads!$N$204,0)</f>
        <v/>
      </c>
      <c r="T204" s="3">
        <f>IF(Loads!$F$204=1,Loads!$K$204*MAX(1,INT(Loads!$N$204)),0)</f>
        <v/>
      </c>
      <c r="U204" s="3">
        <f>IF(Loads!$F$204=1,SUMIFS(Loads!$F$139:$F$146,Loads!$C$139:$C$146,Loads!$B$204),0)</f>
        <v/>
      </c>
      <c r="V204" s="3">
        <f>Loads!$T$204*Loads!$U$204/2000</f>
        <v/>
      </c>
      <c r="W204" s="3">
        <f>IF(Loads!$F$204=1,IF(INDEX(Inputs!$K$138:$K$217,Loads!$D$204)=1,Inputs!$C$275&amp;"",IF(INDEX(Inputs!$K$138:$K$217,Loads!$E$204)=1,Inputs!$D$275&amp;"","")),"")</f>
        <v/>
      </c>
      <c r="X204" s="3">
        <f>IF(Loads!$W$204&lt;&gt;"",1,0)</f>
        <v/>
      </c>
      <c r="Y204" s="3">
        <f>IF(Loads!$X$204=1,SUMIFS(Loads!$X$153:X204,Loads!$B$153:B204,Loads!$B$204),0)</f>
        <v/>
      </c>
      <c r="Z204" s="3">
        <f>IF(AND(Loads!$X$204=1,Loads!$Y$204=1),Loads!$B$204,"")</f>
        <v/>
      </c>
    </row>
    <row r="205">
      <c r="A205" s="3">
        <f>Inputs!$A$276</f>
        <v/>
      </c>
      <c r="B205" s="3">
        <f>IF(Loads!$A$205=1,Inputs!$B$276&amp;"","")</f>
        <v/>
      </c>
      <c r="C205" s="3">
        <f>IF(AND(Loads!$A$205=1,Loads!$B$205&lt;&gt;""),IFERROR(INDEX(Loads!$D$125:$D$132,MATCH(Loads!$B$205,Loads!$C$125:$C$132,0))&amp;"",""),"")</f>
        <v/>
      </c>
      <c r="D205" s="3">
        <f>IF(AND(Loads!$A$205=1,Inputs!$C$276&lt;&gt;""),IFERROR(MATCH(Inputs!$C$276&amp;"",Geometry!$B$58:$B$137,0),0),0)</f>
        <v/>
      </c>
      <c r="E205" s="3">
        <f>IF(AND(Loads!$A$205=1,Inputs!$D$276&lt;&gt;""),IFERROR(MATCH(Inputs!$D$276&amp;"",Geometry!$B$58:$B$137,0),0),0)</f>
        <v/>
      </c>
      <c r="F205" s="3">
        <f>IF(AND(Loads!$A$205=1,Loads!$C$205&lt;&gt;"",Loads!$D$205&gt;0,Loads!$E$205&gt;0),1,0)</f>
        <v/>
      </c>
      <c r="G205" s="3">
        <f>IF(Loads!$F$205=1,INDEX(Geometry!$K$58:$K$137,Loads!$D$205),0)</f>
        <v/>
      </c>
      <c r="H205" s="3">
        <f>IF(Loads!$F$205=1,INDEX(Geometry!$L$58:$L$137,Loads!$D$205),0)</f>
        <v/>
      </c>
      <c r="I205" s="3">
        <f>IF(Loads!$F$205=1,INDEX(Geometry!$K$58:$K$137,Loads!$E$205),0)</f>
        <v/>
      </c>
      <c r="J205" s="3">
        <f>IF(Loads!$F$205=1,INDEX(Geometry!$L$58:$L$137,Loads!$E$205),0)</f>
        <v/>
      </c>
      <c r="K205" s="3">
        <f>SQRT((Loads!$I$205-Loads!$G$205)^2+(Loads!$J$205-Loads!$H$205)^2)</f>
        <v/>
      </c>
      <c r="L205" s="3">
        <f>IF(Loads!$K$205&lt;1E-9,0,(Loads!$I$205-Loads!$G$205)/Loads!$K$205)</f>
        <v/>
      </c>
      <c r="M205" s="3">
        <f>IF(Loads!$K$205&lt;1E-9,0,(Loads!$J$205-Loads!$H$205)/Loads!$K$205)</f>
        <v/>
      </c>
      <c r="N205" s="3">
        <f>IF(Loads!$F$205=1,Inputs!$E$276+0,0)</f>
        <v/>
      </c>
      <c r="O205" s="3">
        <f>IF(AND(Loads!$F$205=1,Loads!$C$205="fixed"),INDEX(Loads!$K$125:$K$132,MATCH(Loads!$B$205,Loads!$C$125:$C$132,0)),0)</f>
        <v/>
      </c>
      <c r="P205" s="3">
        <f>Loads!$O$205*Loads!$L$205*Loads!$N$205</f>
        <v/>
      </c>
      <c r="Q205" s="3">
        <f>Loads!$O$205*Loads!$M$205*Loads!$N$205</f>
        <v/>
      </c>
      <c r="R205" s="3">
        <f>IF(Loads!$C$205="solve",Loads!$L$205*Loads!$N$205,0)</f>
        <v/>
      </c>
      <c r="S205" s="3">
        <f>IF(Loads!$C$205="solve",Loads!$M$205*Loads!$N$205,0)</f>
        <v/>
      </c>
      <c r="T205" s="3">
        <f>IF(Loads!$F$205=1,Loads!$K$205*MAX(1,INT(Loads!$N$205)),0)</f>
        <v/>
      </c>
      <c r="U205" s="3">
        <f>IF(Loads!$F$205=1,SUMIFS(Loads!$F$139:$F$146,Loads!$C$139:$C$146,Loads!$B$205),0)</f>
        <v/>
      </c>
      <c r="V205" s="3">
        <f>Loads!$T$205*Loads!$U$205/2000</f>
        <v/>
      </c>
      <c r="W205" s="3">
        <f>IF(Loads!$F$205=1,IF(INDEX(Inputs!$K$138:$K$217,Loads!$D$205)=1,Inputs!$C$276&amp;"",IF(INDEX(Inputs!$K$138:$K$217,Loads!$E$205)=1,Inputs!$D$276&amp;"","")),"")</f>
        <v/>
      </c>
      <c r="X205" s="3">
        <f>IF(Loads!$W$205&lt;&gt;"",1,0)</f>
        <v/>
      </c>
      <c r="Y205" s="3">
        <f>IF(Loads!$X$205=1,SUMIFS(Loads!$X$153:X205,Loads!$B$153:B205,Loads!$B$205),0)</f>
        <v/>
      </c>
      <c r="Z205" s="3">
        <f>IF(AND(Loads!$X$205=1,Loads!$Y$205=1),Loads!$B$205,"")</f>
        <v/>
      </c>
    </row>
    <row r="206">
      <c r="A206" s="3">
        <f>Inputs!$A$277</f>
        <v/>
      </c>
      <c r="B206" s="3">
        <f>IF(Loads!$A$206=1,Inputs!$B$277&amp;"","")</f>
        <v/>
      </c>
      <c r="C206" s="3">
        <f>IF(AND(Loads!$A$206=1,Loads!$B$206&lt;&gt;""),IFERROR(INDEX(Loads!$D$125:$D$132,MATCH(Loads!$B$206,Loads!$C$125:$C$132,0))&amp;"",""),"")</f>
        <v/>
      </c>
      <c r="D206" s="3">
        <f>IF(AND(Loads!$A$206=1,Inputs!$C$277&lt;&gt;""),IFERROR(MATCH(Inputs!$C$277&amp;"",Geometry!$B$58:$B$137,0),0),0)</f>
        <v/>
      </c>
      <c r="E206" s="3">
        <f>IF(AND(Loads!$A$206=1,Inputs!$D$277&lt;&gt;""),IFERROR(MATCH(Inputs!$D$277&amp;"",Geometry!$B$58:$B$137,0),0),0)</f>
        <v/>
      </c>
      <c r="F206" s="3">
        <f>IF(AND(Loads!$A$206=1,Loads!$C$206&lt;&gt;"",Loads!$D$206&gt;0,Loads!$E$206&gt;0),1,0)</f>
        <v/>
      </c>
      <c r="G206" s="3">
        <f>IF(Loads!$F$206=1,INDEX(Geometry!$K$58:$K$137,Loads!$D$206),0)</f>
        <v/>
      </c>
      <c r="H206" s="3">
        <f>IF(Loads!$F$206=1,INDEX(Geometry!$L$58:$L$137,Loads!$D$206),0)</f>
        <v/>
      </c>
      <c r="I206" s="3">
        <f>IF(Loads!$F$206=1,INDEX(Geometry!$K$58:$K$137,Loads!$E$206),0)</f>
        <v/>
      </c>
      <c r="J206" s="3">
        <f>IF(Loads!$F$206=1,INDEX(Geometry!$L$58:$L$137,Loads!$E$206),0)</f>
        <v/>
      </c>
      <c r="K206" s="3">
        <f>SQRT((Loads!$I$206-Loads!$G$206)^2+(Loads!$J$206-Loads!$H$206)^2)</f>
        <v/>
      </c>
      <c r="L206" s="3">
        <f>IF(Loads!$K$206&lt;1E-9,0,(Loads!$I$206-Loads!$G$206)/Loads!$K$206)</f>
        <v/>
      </c>
      <c r="M206" s="3">
        <f>IF(Loads!$K$206&lt;1E-9,0,(Loads!$J$206-Loads!$H$206)/Loads!$K$206)</f>
        <v/>
      </c>
      <c r="N206" s="3">
        <f>IF(Loads!$F$206=1,Inputs!$E$277+0,0)</f>
        <v/>
      </c>
      <c r="O206" s="3">
        <f>IF(AND(Loads!$F$206=1,Loads!$C$206="fixed"),INDEX(Loads!$K$125:$K$132,MATCH(Loads!$B$206,Loads!$C$125:$C$132,0)),0)</f>
        <v/>
      </c>
      <c r="P206" s="3">
        <f>Loads!$O$206*Loads!$L$206*Loads!$N$206</f>
        <v/>
      </c>
      <c r="Q206" s="3">
        <f>Loads!$O$206*Loads!$M$206*Loads!$N$206</f>
        <v/>
      </c>
      <c r="R206" s="3">
        <f>IF(Loads!$C$206="solve",Loads!$L$206*Loads!$N$206,0)</f>
        <v/>
      </c>
      <c r="S206" s="3">
        <f>IF(Loads!$C$206="solve",Loads!$M$206*Loads!$N$206,0)</f>
        <v/>
      </c>
      <c r="T206" s="3">
        <f>IF(Loads!$F$206=1,Loads!$K$206*MAX(1,INT(Loads!$N$206)),0)</f>
        <v/>
      </c>
      <c r="U206" s="3">
        <f>IF(Loads!$F$206=1,SUMIFS(Loads!$F$139:$F$146,Loads!$C$139:$C$146,Loads!$B$206),0)</f>
        <v/>
      </c>
      <c r="V206" s="3">
        <f>Loads!$T$206*Loads!$U$206/2000</f>
        <v/>
      </c>
      <c r="W206" s="3">
        <f>IF(Loads!$F$206=1,IF(INDEX(Inputs!$K$138:$K$217,Loads!$D$206)=1,Inputs!$C$277&amp;"",IF(INDEX(Inputs!$K$138:$K$217,Loads!$E$206)=1,Inputs!$D$277&amp;"","")),"")</f>
        <v/>
      </c>
      <c r="X206" s="3">
        <f>IF(Loads!$W$206&lt;&gt;"",1,0)</f>
        <v/>
      </c>
      <c r="Y206" s="3">
        <f>IF(Loads!$X$206=1,SUMIFS(Loads!$X$153:X206,Loads!$B$153:B206,Loads!$B$206),0)</f>
        <v/>
      </c>
      <c r="Z206" s="3">
        <f>IF(AND(Loads!$X$206=1,Loads!$Y$206=1),Loads!$B$206,"")</f>
        <v/>
      </c>
    </row>
    <row r="207">
      <c r="A207" s="3">
        <f>Inputs!$A$278</f>
        <v/>
      </c>
      <c r="B207" s="3">
        <f>IF(Loads!$A$207=1,Inputs!$B$278&amp;"","")</f>
        <v/>
      </c>
      <c r="C207" s="3">
        <f>IF(AND(Loads!$A$207=1,Loads!$B$207&lt;&gt;""),IFERROR(INDEX(Loads!$D$125:$D$132,MATCH(Loads!$B$207,Loads!$C$125:$C$132,0))&amp;"",""),"")</f>
        <v/>
      </c>
      <c r="D207" s="3">
        <f>IF(AND(Loads!$A$207=1,Inputs!$C$278&lt;&gt;""),IFERROR(MATCH(Inputs!$C$278&amp;"",Geometry!$B$58:$B$137,0),0),0)</f>
        <v/>
      </c>
      <c r="E207" s="3">
        <f>IF(AND(Loads!$A$207=1,Inputs!$D$278&lt;&gt;""),IFERROR(MATCH(Inputs!$D$278&amp;"",Geometry!$B$58:$B$137,0),0),0)</f>
        <v/>
      </c>
      <c r="F207" s="3">
        <f>IF(AND(Loads!$A$207=1,Loads!$C$207&lt;&gt;"",Loads!$D$207&gt;0,Loads!$E$207&gt;0),1,0)</f>
        <v/>
      </c>
      <c r="G207" s="3">
        <f>IF(Loads!$F$207=1,INDEX(Geometry!$K$58:$K$137,Loads!$D$207),0)</f>
        <v/>
      </c>
      <c r="H207" s="3">
        <f>IF(Loads!$F$207=1,INDEX(Geometry!$L$58:$L$137,Loads!$D$207),0)</f>
        <v/>
      </c>
      <c r="I207" s="3">
        <f>IF(Loads!$F$207=1,INDEX(Geometry!$K$58:$K$137,Loads!$E$207),0)</f>
        <v/>
      </c>
      <c r="J207" s="3">
        <f>IF(Loads!$F$207=1,INDEX(Geometry!$L$58:$L$137,Loads!$E$207),0)</f>
        <v/>
      </c>
      <c r="K207" s="3">
        <f>SQRT((Loads!$I$207-Loads!$G$207)^2+(Loads!$J$207-Loads!$H$207)^2)</f>
        <v/>
      </c>
      <c r="L207" s="3">
        <f>IF(Loads!$K$207&lt;1E-9,0,(Loads!$I$207-Loads!$G$207)/Loads!$K$207)</f>
        <v/>
      </c>
      <c r="M207" s="3">
        <f>IF(Loads!$K$207&lt;1E-9,0,(Loads!$J$207-Loads!$H$207)/Loads!$K$207)</f>
        <v/>
      </c>
      <c r="N207" s="3">
        <f>IF(Loads!$F$207=1,Inputs!$E$278+0,0)</f>
        <v/>
      </c>
      <c r="O207" s="3">
        <f>IF(AND(Loads!$F$207=1,Loads!$C$207="fixed"),INDEX(Loads!$K$125:$K$132,MATCH(Loads!$B$207,Loads!$C$125:$C$132,0)),0)</f>
        <v/>
      </c>
      <c r="P207" s="3">
        <f>Loads!$O$207*Loads!$L$207*Loads!$N$207</f>
        <v/>
      </c>
      <c r="Q207" s="3">
        <f>Loads!$O$207*Loads!$M$207*Loads!$N$207</f>
        <v/>
      </c>
      <c r="R207" s="3">
        <f>IF(Loads!$C$207="solve",Loads!$L$207*Loads!$N$207,0)</f>
        <v/>
      </c>
      <c r="S207" s="3">
        <f>IF(Loads!$C$207="solve",Loads!$M$207*Loads!$N$207,0)</f>
        <v/>
      </c>
      <c r="T207" s="3">
        <f>IF(Loads!$F$207=1,Loads!$K$207*MAX(1,INT(Loads!$N$207)),0)</f>
        <v/>
      </c>
      <c r="U207" s="3">
        <f>IF(Loads!$F$207=1,SUMIFS(Loads!$F$139:$F$146,Loads!$C$139:$C$146,Loads!$B$207),0)</f>
        <v/>
      </c>
      <c r="V207" s="3">
        <f>Loads!$T$207*Loads!$U$207/2000</f>
        <v/>
      </c>
      <c r="W207" s="3">
        <f>IF(Loads!$F$207=1,IF(INDEX(Inputs!$K$138:$K$217,Loads!$D$207)=1,Inputs!$C$278&amp;"",IF(INDEX(Inputs!$K$138:$K$217,Loads!$E$207)=1,Inputs!$D$278&amp;"","")),"")</f>
        <v/>
      </c>
      <c r="X207" s="3">
        <f>IF(Loads!$W$207&lt;&gt;"",1,0)</f>
        <v/>
      </c>
      <c r="Y207" s="3">
        <f>IF(Loads!$X$207=1,SUMIFS(Loads!$X$153:X207,Loads!$B$153:B207,Loads!$B$207),0)</f>
        <v/>
      </c>
      <c r="Z207" s="3">
        <f>IF(AND(Loads!$X$207=1,Loads!$Y$207=1),Loads!$B$207,"")</f>
        <v/>
      </c>
    </row>
    <row r="208">
      <c r="A208" s="3">
        <f>Inputs!$A$279</f>
        <v/>
      </c>
      <c r="B208" s="3">
        <f>IF(Loads!$A$208=1,Inputs!$B$279&amp;"","")</f>
        <v/>
      </c>
      <c r="C208" s="3">
        <f>IF(AND(Loads!$A$208=1,Loads!$B$208&lt;&gt;""),IFERROR(INDEX(Loads!$D$125:$D$132,MATCH(Loads!$B$208,Loads!$C$125:$C$132,0))&amp;"",""),"")</f>
        <v/>
      </c>
      <c r="D208" s="3">
        <f>IF(AND(Loads!$A$208=1,Inputs!$C$279&lt;&gt;""),IFERROR(MATCH(Inputs!$C$279&amp;"",Geometry!$B$58:$B$137,0),0),0)</f>
        <v/>
      </c>
      <c r="E208" s="3">
        <f>IF(AND(Loads!$A$208=1,Inputs!$D$279&lt;&gt;""),IFERROR(MATCH(Inputs!$D$279&amp;"",Geometry!$B$58:$B$137,0),0),0)</f>
        <v/>
      </c>
      <c r="F208" s="3">
        <f>IF(AND(Loads!$A$208=1,Loads!$C$208&lt;&gt;"",Loads!$D$208&gt;0,Loads!$E$208&gt;0),1,0)</f>
        <v/>
      </c>
      <c r="G208" s="3">
        <f>IF(Loads!$F$208=1,INDEX(Geometry!$K$58:$K$137,Loads!$D$208),0)</f>
        <v/>
      </c>
      <c r="H208" s="3">
        <f>IF(Loads!$F$208=1,INDEX(Geometry!$L$58:$L$137,Loads!$D$208),0)</f>
        <v/>
      </c>
      <c r="I208" s="3">
        <f>IF(Loads!$F$208=1,INDEX(Geometry!$K$58:$K$137,Loads!$E$208),0)</f>
        <v/>
      </c>
      <c r="J208" s="3">
        <f>IF(Loads!$F$208=1,INDEX(Geometry!$L$58:$L$137,Loads!$E$208),0)</f>
        <v/>
      </c>
      <c r="K208" s="3">
        <f>SQRT((Loads!$I$208-Loads!$G$208)^2+(Loads!$J$208-Loads!$H$208)^2)</f>
        <v/>
      </c>
      <c r="L208" s="3">
        <f>IF(Loads!$K$208&lt;1E-9,0,(Loads!$I$208-Loads!$G$208)/Loads!$K$208)</f>
        <v/>
      </c>
      <c r="M208" s="3">
        <f>IF(Loads!$K$208&lt;1E-9,0,(Loads!$J$208-Loads!$H$208)/Loads!$K$208)</f>
        <v/>
      </c>
      <c r="N208" s="3">
        <f>IF(Loads!$F$208=1,Inputs!$E$279+0,0)</f>
        <v/>
      </c>
      <c r="O208" s="3">
        <f>IF(AND(Loads!$F$208=1,Loads!$C$208="fixed"),INDEX(Loads!$K$125:$K$132,MATCH(Loads!$B$208,Loads!$C$125:$C$132,0)),0)</f>
        <v/>
      </c>
      <c r="P208" s="3">
        <f>Loads!$O$208*Loads!$L$208*Loads!$N$208</f>
        <v/>
      </c>
      <c r="Q208" s="3">
        <f>Loads!$O$208*Loads!$M$208*Loads!$N$208</f>
        <v/>
      </c>
      <c r="R208" s="3">
        <f>IF(Loads!$C$208="solve",Loads!$L$208*Loads!$N$208,0)</f>
        <v/>
      </c>
      <c r="S208" s="3">
        <f>IF(Loads!$C$208="solve",Loads!$M$208*Loads!$N$208,0)</f>
        <v/>
      </c>
      <c r="T208" s="3">
        <f>IF(Loads!$F$208=1,Loads!$K$208*MAX(1,INT(Loads!$N$208)),0)</f>
        <v/>
      </c>
      <c r="U208" s="3">
        <f>IF(Loads!$F$208=1,SUMIFS(Loads!$F$139:$F$146,Loads!$C$139:$C$146,Loads!$B$208),0)</f>
        <v/>
      </c>
      <c r="V208" s="3">
        <f>Loads!$T$208*Loads!$U$208/2000</f>
        <v/>
      </c>
      <c r="W208" s="3">
        <f>IF(Loads!$F$208=1,IF(INDEX(Inputs!$K$138:$K$217,Loads!$D$208)=1,Inputs!$C$279&amp;"",IF(INDEX(Inputs!$K$138:$K$217,Loads!$E$208)=1,Inputs!$D$279&amp;"","")),"")</f>
        <v/>
      </c>
      <c r="X208" s="3">
        <f>IF(Loads!$W$208&lt;&gt;"",1,0)</f>
        <v/>
      </c>
      <c r="Y208" s="3">
        <f>IF(Loads!$X$208=1,SUMIFS(Loads!$X$153:X208,Loads!$B$153:B208,Loads!$B$208),0)</f>
        <v/>
      </c>
      <c r="Z208" s="3">
        <f>IF(AND(Loads!$X$208=1,Loads!$Y$208=1),Loads!$B$208,"")</f>
        <v/>
      </c>
    </row>
    <row r="209">
      <c r="A209" s="3">
        <f>Inputs!$A$280</f>
        <v/>
      </c>
      <c r="B209" s="3">
        <f>IF(Loads!$A$209=1,Inputs!$B$280&amp;"","")</f>
        <v/>
      </c>
      <c r="C209" s="3">
        <f>IF(AND(Loads!$A$209=1,Loads!$B$209&lt;&gt;""),IFERROR(INDEX(Loads!$D$125:$D$132,MATCH(Loads!$B$209,Loads!$C$125:$C$132,0))&amp;"",""),"")</f>
        <v/>
      </c>
      <c r="D209" s="3">
        <f>IF(AND(Loads!$A$209=1,Inputs!$C$280&lt;&gt;""),IFERROR(MATCH(Inputs!$C$280&amp;"",Geometry!$B$58:$B$137,0),0),0)</f>
        <v/>
      </c>
      <c r="E209" s="3">
        <f>IF(AND(Loads!$A$209=1,Inputs!$D$280&lt;&gt;""),IFERROR(MATCH(Inputs!$D$280&amp;"",Geometry!$B$58:$B$137,0),0),0)</f>
        <v/>
      </c>
      <c r="F209" s="3">
        <f>IF(AND(Loads!$A$209=1,Loads!$C$209&lt;&gt;"",Loads!$D$209&gt;0,Loads!$E$209&gt;0),1,0)</f>
        <v/>
      </c>
      <c r="G209" s="3">
        <f>IF(Loads!$F$209=1,INDEX(Geometry!$K$58:$K$137,Loads!$D$209),0)</f>
        <v/>
      </c>
      <c r="H209" s="3">
        <f>IF(Loads!$F$209=1,INDEX(Geometry!$L$58:$L$137,Loads!$D$209),0)</f>
        <v/>
      </c>
      <c r="I209" s="3">
        <f>IF(Loads!$F$209=1,INDEX(Geometry!$K$58:$K$137,Loads!$E$209),0)</f>
        <v/>
      </c>
      <c r="J209" s="3">
        <f>IF(Loads!$F$209=1,INDEX(Geometry!$L$58:$L$137,Loads!$E$209),0)</f>
        <v/>
      </c>
      <c r="K209" s="3">
        <f>SQRT((Loads!$I$209-Loads!$G$209)^2+(Loads!$J$209-Loads!$H$209)^2)</f>
        <v/>
      </c>
      <c r="L209" s="3">
        <f>IF(Loads!$K$209&lt;1E-9,0,(Loads!$I$209-Loads!$G$209)/Loads!$K$209)</f>
        <v/>
      </c>
      <c r="M209" s="3">
        <f>IF(Loads!$K$209&lt;1E-9,0,(Loads!$J$209-Loads!$H$209)/Loads!$K$209)</f>
        <v/>
      </c>
      <c r="N209" s="3">
        <f>IF(Loads!$F$209=1,Inputs!$E$280+0,0)</f>
        <v/>
      </c>
      <c r="O209" s="3">
        <f>IF(AND(Loads!$F$209=1,Loads!$C$209="fixed"),INDEX(Loads!$K$125:$K$132,MATCH(Loads!$B$209,Loads!$C$125:$C$132,0)),0)</f>
        <v/>
      </c>
      <c r="P209" s="3">
        <f>Loads!$O$209*Loads!$L$209*Loads!$N$209</f>
        <v/>
      </c>
      <c r="Q209" s="3">
        <f>Loads!$O$209*Loads!$M$209*Loads!$N$209</f>
        <v/>
      </c>
      <c r="R209" s="3">
        <f>IF(Loads!$C$209="solve",Loads!$L$209*Loads!$N$209,0)</f>
        <v/>
      </c>
      <c r="S209" s="3">
        <f>IF(Loads!$C$209="solve",Loads!$M$209*Loads!$N$209,0)</f>
        <v/>
      </c>
      <c r="T209" s="3">
        <f>IF(Loads!$F$209=1,Loads!$K$209*MAX(1,INT(Loads!$N$209)),0)</f>
        <v/>
      </c>
      <c r="U209" s="3">
        <f>IF(Loads!$F$209=1,SUMIFS(Loads!$F$139:$F$146,Loads!$C$139:$C$146,Loads!$B$209),0)</f>
        <v/>
      </c>
      <c r="V209" s="3">
        <f>Loads!$T$209*Loads!$U$209/2000</f>
        <v/>
      </c>
      <c r="W209" s="3">
        <f>IF(Loads!$F$209=1,IF(INDEX(Inputs!$K$138:$K$217,Loads!$D$209)=1,Inputs!$C$280&amp;"",IF(INDEX(Inputs!$K$138:$K$217,Loads!$E$209)=1,Inputs!$D$280&amp;"","")),"")</f>
        <v/>
      </c>
      <c r="X209" s="3">
        <f>IF(Loads!$W$209&lt;&gt;"",1,0)</f>
        <v/>
      </c>
      <c r="Y209" s="3">
        <f>IF(Loads!$X$209=1,SUMIFS(Loads!$X$153:X209,Loads!$B$153:B209,Loads!$B$209),0)</f>
        <v/>
      </c>
      <c r="Z209" s="3">
        <f>IF(AND(Loads!$X$209=1,Loads!$Y$209=1),Loads!$B$209,"")</f>
        <v/>
      </c>
    </row>
    <row r="210">
      <c r="A210" s="3">
        <f>Inputs!$A$281</f>
        <v/>
      </c>
      <c r="B210" s="3">
        <f>IF(Loads!$A$210=1,Inputs!$B$281&amp;"","")</f>
        <v/>
      </c>
      <c r="C210" s="3">
        <f>IF(AND(Loads!$A$210=1,Loads!$B$210&lt;&gt;""),IFERROR(INDEX(Loads!$D$125:$D$132,MATCH(Loads!$B$210,Loads!$C$125:$C$132,0))&amp;"",""),"")</f>
        <v/>
      </c>
      <c r="D210" s="3">
        <f>IF(AND(Loads!$A$210=1,Inputs!$C$281&lt;&gt;""),IFERROR(MATCH(Inputs!$C$281&amp;"",Geometry!$B$58:$B$137,0),0),0)</f>
        <v/>
      </c>
      <c r="E210" s="3">
        <f>IF(AND(Loads!$A$210=1,Inputs!$D$281&lt;&gt;""),IFERROR(MATCH(Inputs!$D$281&amp;"",Geometry!$B$58:$B$137,0),0),0)</f>
        <v/>
      </c>
      <c r="F210" s="3">
        <f>IF(AND(Loads!$A$210=1,Loads!$C$210&lt;&gt;"",Loads!$D$210&gt;0,Loads!$E$210&gt;0),1,0)</f>
        <v/>
      </c>
      <c r="G210" s="3">
        <f>IF(Loads!$F$210=1,INDEX(Geometry!$K$58:$K$137,Loads!$D$210),0)</f>
        <v/>
      </c>
      <c r="H210" s="3">
        <f>IF(Loads!$F$210=1,INDEX(Geometry!$L$58:$L$137,Loads!$D$210),0)</f>
        <v/>
      </c>
      <c r="I210" s="3">
        <f>IF(Loads!$F$210=1,INDEX(Geometry!$K$58:$K$137,Loads!$E$210),0)</f>
        <v/>
      </c>
      <c r="J210" s="3">
        <f>IF(Loads!$F$210=1,INDEX(Geometry!$L$58:$L$137,Loads!$E$210),0)</f>
        <v/>
      </c>
      <c r="K210" s="3">
        <f>SQRT((Loads!$I$210-Loads!$G$210)^2+(Loads!$J$210-Loads!$H$210)^2)</f>
        <v/>
      </c>
      <c r="L210" s="3">
        <f>IF(Loads!$K$210&lt;1E-9,0,(Loads!$I$210-Loads!$G$210)/Loads!$K$210)</f>
        <v/>
      </c>
      <c r="M210" s="3">
        <f>IF(Loads!$K$210&lt;1E-9,0,(Loads!$J$210-Loads!$H$210)/Loads!$K$210)</f>
        <v/>
      </c>
      <c r="N210" s="3">
        <f>IF(Loads!$F$210=1,Inputs!$E$281+0,0)</f>
        <v/>
      </c>
      <c r="O210" s="3">
        <f>IF(AND(Loads!$F$210=1,Loads!$C$210="fixed"),INDEX(Loads!$K$125:$K$132,MATCH(Loads!$B$210,Loads!$C$125:$C$132,0)),0)</f>
        <v/>
      </c>
      <c r="P210" s="3">
        <f>Loads!$O$210*Loads!$L$210*Loads!$N$210</f>
        <v/>
      </c>
      <c r="Q210" s="3">
        <f>Loads!$O$210*Loads!$M$210*Loads!$N$210</f>
        <v/>
      </c>
      <c r="R210" s="3">
        <f>IF(Loads!$C$210="solve",Loads!$L$210*Loads!$N$210,0)</f>
        <v/>
      </c>
      <c r="S210" s="3">
        <f>IF(Loads!$C$210="solve",Loads!$M$210*Loads!$N$210,0)</f>
        <v/>
      </c>
      <c r="T210" s="3">
        <f>IF(Loads!$F$210=1,Loads!$K$210*MAX(1,INT(Loads!$N$210)),0)</f>
        <v/>
      </c>
      <c r="U210" s="3">
        <f>IF(Loads!$F$210=1,SUMIFS(Loads!$F$139:$F$146,Loads!$C$139:$C$146,Loads!$B$210),0)</f>
        <v/>
      </c>
      <c r="V210" s="3">
        <f>Loads!$T$210*Loads!$U$210/2000</f>
        <v/>
      </c>
      <c r="W210" s="3">
        <f>IF(Loads!$F$210=1,IF(INDEX(Inputs!$K$138:$K$217,Loads!$D$210)=1,Inputs!$C$281&amp;"",IF(INDEX(Inputs!$K$138:$K$217,Loads!$E$210)=1,Inputs!$D$281&amp;"","")),"")</f>
        <v/>
      </c>
      <c r="X210" s="3">
        <f>IF(Loads!$W$210&lt;&gt;"",1,0)</f>
        <v/>
      </c>
      <c r="Y210" s="3">
        <f>IF(Loads!$X$210=1,SUMIFS(Loads!$X$153:X210,Loads!$B$153:B210,Loads!$B$210),0)</f>
        <v/>
      </c>
      <c r="Z210" s="3">
        <f>IF(AND(Loads!$X$210=1,Loads!$Y$210=1),Loads!$B$210,"")</f>
        <v/>
      </c>
    </row>
    <row r="211">
      <c r="A211" s="3">
        <f>Inputs!$A$282</f>
        <v/>
      </c>
      <c r="B211" s="3">
        <f>IF(Loads!$A$211=1,Inputs!$B$282&amp;"","")</f>
        <v/>
      </c>
      <c r="C211" s="3">
        <f>IF(AND(Loads!$A$211=1,Loads!$B$211&lt;&gt;""),IFERROR(INDEX(Loads!$D$125:$D$132,MATCH(Loads!$B$211,Loads!$C$125:$C$132,0))&amp;"",""),"")</f>
        <v/>
      </c>
      <c r="D211" s="3">
        <f>IF(AND(Loads!$A$211=1,Inputs!$C$282&lt;&gt;""),IFERROR(MATCH(Inputs!$C$282&amp;"",Geometry!$B$58:$B$137,0),0),0)</f>
        <v/>
      </c>
      <c r="E211" s="3">
        <f>IF(AND(Loads!$A$211=1,Inputs!$D$282&lt;&gt;""),IFERROR(MATCH(Inputs!$D$282&amp;"",Geometry!$B$58:$B$137,0),0),0)</f>
        <v/>
      </c>
      <c r="F211" s="3">
        <f>IF(AND(Loads!$A$211=1,Loads!$C$211&lt;&gt;"",Loads!$D$211&gt;0,Loads!$E$211&gt;0),1,0)</f>
        <v/>
      </c>
      <c r="G211" s="3">
        <f>IF(Loads!$F$211=1,INDEX(Geometry!$K$58:$K$137,Loads!$D$211),0)</f>
        <v/>
      </c>
      <c r="H211" s="3">
        <f>IF(Loads!$F$211=1,INDEX(Geometry!$L$58:$L$137,Loads!$D$211),0)</f>
        <v/>
      </c>
      <c r="I211" s="3">
        <f>IF(Loads!$F$211=1,INDEX(Geometry!$K$58:$K$137,Loads!$E$211),0)</f>
        <v/>
      </c>
      <c r="J211" s="3">
        <f>IF(Loads!$F$211=1,INDEX(Geometry!$L$58:$L$137,Loads!$E$211),0)</f>
        <v/>
      </c>
      <c r="K211" s="3">
        <f>SQRT((Loads!$I$211-Loads!$G$211)^2+(Loads!$J$211-Loads!$H$211)^2)</f>
        <v/>
      </c>
      <c r="L211" s="3">
        <f>IF(Loads!$K$211&lt;1E-9,0,(Loads!$I$211-Loads!$G$211)/Loads!$K$211)</f>
        <v/>
      </c>
      <c r="M211" s="3">
        <f>IF(Loads!$K$211&lt;1E-9,0,(Loads!$J$211-Loads!$H$211)/Loads!$K$211)</f>
        <v/>
      </c>
      <c r="N211" s="3">
        <f>IF(Loads!$F$211=1,Inputs!$E$282+0,0)</f>
        <v/>
      </c>
      <c r="O211" s="3">
        <f>IF(AND(Loads!$F$211=1,Loads!$C$211="fixed"),INDEX(Loads!$K$125:$K$132,MATCH(Loads!$B$211,Loads!$C$125:$C$132,0)),0)</f>
        <v/>
      </c>
      <c r="P211" s="3">
        <f>Loads!$O$211*Loads!$L$211*Loads!$N$211</f>
        <v/>
      </c>
      <c r="Q211" s="3">
        <f>Loads!$O$211*Loads!$M$211*Loads!$N$211</f>
        <v/>
      </c>
      <c r="R211" s="3">
        <f>IF(Loads!$C$211="solve",Loads!$L$211*Loads!$N$211,0)</f>
        <v/>
      </c>
      <c r="S211" s="3">
        <f>IF(Loads!$C$211="solve",Loads!$M$211*Loads!$N$211,0)</f>
        <v/>
      </c>
      <c r="T211" s="3">
        <f>IF(Loads!$F$211=1,Loads!$K$211*MAX(1,INT(Loads!$N$211)),0)</f>
        <v/>
      </c>
      <c r="U211" s="3">
        <f>IF(Loads!$F$211=1,SUMIFS(Loads!$F$139:$F$146,Loads!$C$139:$C$146,Loads!$B$211),0)</f>
        <v/>
      </c>
      <c r="V211" s="3">
        <f>Loads!$T$211*Loads!$U$211/2000</f>
        <v/>
      </c>
      <c r="W211" s="3">
        <f>IF(Loads!$F$211=1,IF(INDEX(Inputs!$K$138:$K$217,Loads!$D$211)=1,Inputs!$C$282&amp;"",IF(INDEX(Inputs!$K$138:$K$217,Loads!$E$211)=1,Inputs!$D$282&amp;"","")),"")</f>
        <v/>
      </c>
      <c r="X211" s="3">
        <f>IF(Loads!$W$211&lt;&gt;"",1,0)</f>
        <v/>
      </c>
      <c r="Y211" s="3">
        <f>IF(Loads!$X$211=1,SUMIFS(Loads!$X$153:X211,Loads!$B$153:B211,Loads!$B$211),0)</f>
        <v/>
      </c>
      <c r="Z211" s="3">
        <f>IF(AND(Loads!$X$211=1,Loads!$Y$211=1),Loads!$B$211,"")</f>
        <v/>
      </c>
    </row>
    <row r="212">
      <c r="A212" s="3">
        <f>Inputs!$A$283</f>
        <v/>
      </c>
      <c r="B212" s="3">
        <f>IF(Loads!$A$212=1,Inputs!$B$283&amp;"","")</f>
        <v/>
      </c>
      <c r="C212" s="3">
        <f>IF(AND(Loads!$A$212=1,Loads!$B$212&lt;&gt;""),IFERROR(INDEX(Loads!$D$125:$D$132,MATCH(Loads!$B$212,Loads!$C$125:$C$132,0))&amp;"",""),"")</f>
        <v/>
      </c>
      <c r="D212" s="3">
        <f>IF(AND(Loads!$A$212=1,Inputs!$C$283&lt;&gt;""),IFERROR(MATCH(Inputs!$C$283&amp;"",Geometry!$B$58:$B$137,0),0),0)</f>
        <v/>
      </c>
      <c r="E212" s="3">
        <f>IF(AND(Loads!$A$212=1,Inputs!$D$283&lt;&gt;""),IFERROR(MATCH(Inputs!$D$283&amp;"",Geometry!$B$58:$B$137,0),0),0)</f>
        <v/>
      </c>
      <c r="F212" s="3">
        <f>IF(AND(Loads!$A$212=1,Loads!$C$212&lt;&gt;"",Loads!$D$212&gt;0,Loads!$E$212&gt;0),1,0)</f>
        <v/>
      </c>
      <c r="G212" s="3">
        <f>IF(Loads!$F$212=1,INDEX(Geometry!$K$58:$K$137,Loads!$D$212),0)</f>
        <v/>
      </c>
      <c r="H212" s="3">
        <f>IF(Loads!$F$212=1,INDEX(Geometry!$L$58:$L$137,Loads!$D$212),0)</f>
        <v/>
      </c>
      <c r="I212" s="3">
        <f>IF(Loads!$F$212=1,INDEX(Geometry!$K$58:$K$137,Loads!$E$212),0)</f>
        <v/>
      </c>
      <c r="J212" s="3">
        <f>IF(Loads!$F$212=1,INDEX(Geometry!$L$58:$L$137,Loads!$E$212),0)</f>
        <v/>
      </c>
      <c r="K212" s="3">
        <f>SQRT((Loads!$I$212-Loads!$G$212)^2+(Loads!$J$212-Loads!$H$212)^2)</f>
        <v/>
      </c>
      <c r="L212" s="3">
        <f>IF(Loads!$K$212&lt;1E-9,0,(Loads!$I$212-Loads!$G$212)/Loads!$K$212)</f>
        <v/>
      </c>
      <c r="M212" s="3">
        <f>IF(Loads!$K$212&lt;1E-9,0,(Loads!$J$212-Loads!$H$212)/Loads!$K$212)</f>
        <v/>
      </c>
      <c r="N212" s="3">
        <f>IF(Loads!$F$212=1,Inputs!$E$283+0,0)</f>
        <v/>
      </c>
      <c r="O212" s="3">
        <f>IF(AND(Loads!$F$212=1,Loads!$C$212="fixed"),INDEX(Loads!$K$125:$K$132,MATCH(Loads!$B$212,Loads!$C$125:$C$132,0)),0)</f>
        <v/>
      </c>
      <c r="P212" s="3">
        <f>Loads!$O$212*Loads!$L$212*Loads!$N$212</f>
        <v/>
      </c>
      <c r="Q212" s="3">
        <f>Loads!$O$212*Loads!$M$212*Loads!$N$212</f>
        <v/>
      </c>
      <c r="R212" s="3">
        <f>IF(Loads!$C$212="solve",Loads!$L$212*Loads!$N$212,0)</f>
        <v/>
      </c>
      <c r="S212" s="3">
        <f>IF(Loads!$C$212="solve",Loads!$M$212*Loads!$N$212,0)</f>
        <v/>
      </c>
      <c r="T212" s="3">
        <f>IF(Loads!$F$212=1,Loads!$K$212*MAX(1,INT(Loads!$N$212)),0)</f>
        <v/>
      </c>
      <c r="U212" s="3">
        <f>IF(Loads!$F$212=1,SUMIFS(Loads!$F$139:$F$146,Loads!$C$139:$C$146,Loads!$B$212),0)</f>
        <v/>
      </c>
      <c r="V212" s="3">
        <f>Loads!$T$212*Loads!$U$212/2000</f>
        <v/>
      </c>
      <c r="W212" s="3">
        <f>IF(Loads!$F$212=1,IF(INDEX(Inputs!$K$138:$K$217,Loads!$D$212)=1,Inputs!$C$283&amp;"",IF(INDEX(Inputs!$K$138:$K$217,Loads!$E$212)=1,Inputs!$D$283&amp;"","")),"")</f>
        <v/>
      </c>
      <c r="X212" s="3">
        <f>IF(Loads!$W$212&lt;&gt;"",1,0)</f>
        <v/>
      </c>
      <c r="Y212" s="3">
        <f>IF(Loads!$X$212=1,SUMIFS(Loads!$X$153:X212,Loads!$B$153:B212,Loads!$B$212),0)</f>
        <v/>
      </c>
      <c r="Z212" s="3">
        <f>IF(AND(Loads!$X$212=1,Loads!$Y$212=1),Loads!$B$212,"")</f>
        <v/>
      </c>
    </row>
    <row r="216">
      <c r="A216" s="6" t="inlineStr">
        <is>
          <t>Loads at nodes (row i = Inputs nodes row i)</t>
        </is>
      </c>
    </row>
    <row r="217">
      <c r="A217" s="8" t="inlineStr">
        <is>
          <t>Active [1/0]</t>
        </is>
      </c>
      <c r="B217" s="8" t="inlineStr">
        <is>
          <t>Id</t>
        </is>
      </c>
      <c r="C217" s="8" t="inlineStr">
        <is>
          <t>Body</t>
        </is>
      </c>
      <c r="D217" s="8" t="inlineStr">
        <is>
          <t>x global [m]</t>
        </is>
      </c>
      <c r="E217" s="8" t="inlineStr">
        <is>
          <t>z global [m]</t>
        </is>
      </c>
      <c r="F217" s="8" t="inlineStr">
        <is>
          <t>Reeved rope mass (half of each segment) [t]</t>
        </is>
      </c>
      <c r="G217" s="8" t="inlineStr">
        <is>
          <t>Spooled rope mass [t]</t>
        </is>
      </c>
      <c r="H217" s="8" t="inlineStr">
        <is>
          <t>Rope mass at node [t]</t>
        </is>
      </c>
      <c r="I217" s="8" t="inlineStr">
        <is>
          <t>Rope weight + inertia Fx [kN]</t>
        </is>
      </c>
      <c r="J217" s="8" t="inlineStr">
        <is>
          <t>Rope weight + inertia Fz [kN]</t>
        </is>
      </c>
      <c r="K217" s="8" t="inlineStr">
        <is>
          <t>Rope weight moment [kNm]</t>
        </is>
      </c>
      <c r="L217" s="8" t="inlineStr">
        <is>
          <t>Idle hook block mass [t]</t>
        </is>
      </c>
      <c r="M217" s="8" t="inlineStr">
        <is>
          <t>Idle hook weight Fx [kN]</t>
        </is>
      </c>
      <c r="N217" s="8" t="inlineStr">
        <is>
          <t>Idle hook weight Fz [kN]</t>
        </is>
      </c>
      <c r="O217" s="8" t="inlineStr">
        <is>
          <t>Idle hook weight moment [kNm]</t>
        </is>
      </c>
      <c r="P217" s="8" t="inlineStr">
        <is>
          <t>Idle hook inertia Fx [kN]</t>
        </is>
      </c>
      <c r="Q217" s="8" t="inlineStr">
        <is>
          <t>Idle hook inertia Fz [kN]</t>
        </is>
      </c>
      <c r="R217" s="8" t="inlineStr">
        <is>
          <t>Idle hook inertia moment [kNm]</t>
        </is>
      </c>
      <c r="S217" s="8" t="inlineStr">
        <is>
          <t>Hook load Fz = -hook load [kN]</t>
        </is>
      </c>
      <c r="T217" s="8" t="inlineStr">
        <is>
          <t>Offlead Fx [kN]</t>
        </is>
      </c>
      <c r="U217" s="8" t="inlineStr">
        <is>
          <t>Hook load moment [kNm]</t>
        </is>
      </c>
      <c r="V217" s="8" t="inlineStr">
        <is>
          <t>Fixed-rope forces Fx [kN]</t>
        </is>
      </c>
      <c r="W217" s="8" t="inlineStr">
        <is>
          <t>Fixed-rope forces Fz [kN]</t>
        </is>
      </c>
      <c r="X217" s="8" t="inlineStr">
        <is>
          <t>Fixed-rope moment [kNm]</t>
        </is>
      </c>
      <c r="Y217" s="8" t="inlineStr">
        <is>
          <t>Solve rope coefficient Fx [kN/kN]</t>
        </is>
      </c>
      <c r="Z217" s="8" t="inlineStr">
        <is>
          <t>Solve rope coefficient Fz [kN/kN]</t>
        </is>
      </c>
      <c r="AA217" s="8" t="inlineStr">
        <is>
          <t>Solve rope coefficient moment [kNm/kN]</t>
        </is>
      </c>
      <c r="AB217" s="8" t="inlineStr">
        <is>
          <t>Known load Fx (all but solve rope) [kN]</t>
        </is>
      </c>
      <c r="AC217" s="8" t="inlineStr">
        <is>
          <t>Known load Fz [kN]</t>
        </is>
      </c>
      <c r="AD217" s="8" t="inlineStr">
        <is>
          <t>Known load moment [kNm]</t>
        </is>
      </c>
    </row>
    <row r="218">
      <c r="A218" s="7" t="inlineStr">
        <is>
          <t>active (from Inputs)</t>
        </is>
      </c>
      <c r="B218" s="7" t="inlineStr">
        <is>
          <t>id</t>
        </is>
      </c>
      <c r="C218" s="7" t="inlineStr">
        <is>
          <t>body</t>
        </is>
      </c>
      <c r="D218" s="7" t="inlineStr">
        <is>
          <t>x_m (Geometry)</t>
        </is>
      </c>
      <c r="E218" s="7" t="inlineStr">
        <is>
          <t>z_m (Geometry)</t>
        </is>
      </c>
      <c r="F218" s="7" t="inlineStr">
        <is>
          <t>reeved_t</t>
        </is>
      </c>
      <c r="G218" s="7" t="inlineStr">
        <is>
          <t>spooled_t</t>
        </is>
      </c>
      <c r="H218" s="7" t="inlineStr">
        <is>
          <t>rope_mass_t</t>
        </is>
      </c>
      <c r="I218" s="7" t="inlineStr">
        <is>
          <t>rw_fx</t>
        </is>
      </c>
      <c r="J218" s="7" t="inlineStr">
        <is>
          <t>rw_fz</t>
        </is>
      </c>
      <c r="K218" s="7" t="inlineStr">
        <is>
          <t>rw_m</t>
        </is>
      </c>
      <c r="L218" s="7" t="inlineStr">
        <is>
          <t>idle_mass_t</t>
        </is>
      </c>
      <c r="M218" s="7" t="inlineStr">
        <is>
          <t>idle_grav_fx</t>
        </is>
      </c>
      <c r="N218" s="7" t="inlineStr">
        <is>
          <t>idle_grav_fz</t>
        </is>
      </c>
      <c r="O218" s="7" t="inlineStr">
        <is>
          <t>idle_grav_m</t>
        </is>
      </c>
      <c r="P218" s="7" t="inlineStr">
        <is>
          <t>idle_inertia_fx</t>
        </is>
      </c>
      <c r="Q218" s="7" t="inlineStr">
        <is>
          <t>idle_inertia_fz</t>
        </is>
      </c>
      <c r="R218" s="7" t="inlineStr">
        <is>
          <t>idle_inertia_m</t>
        </is>
      </c>
      <c r="S218" s="7" t="inlineStr">
        <is>
          <t>hook_fz (at the hook node)</t>
        </is>
      </c>
      <c r="T218" s="7" t="inlineStr">
        <is>
          <t>offlead_fx (at the hook's parent node)</t>
        </is>
      </c>
      <c r="U218" s="7" t="inlineStr">
        <is>
          <t>hook_m</t>
        </is>
      </c>
      <c r="V218" s="7" t="inlineStr">
        <is>
          <t>rope_fx (sum over segments)</t>
        </is>
      </c>
      <c r="W218" s="7" t="inlineStr">
        <is>
          <t>rope_fz</t>
        </is>
      </c>
      <c r="X218" s="7" t="inlineStr">
        <is>
          <t>rope_m</t>
        </is>
      </c>
      <c r="Y218" s="7" t="inlineStr">
        <is>
          <t>bh_fx</t>
        </is>
      </c>
      <c r="Z218" s="7" t="inlineStr">
        <is>
          <t>bh_fz</t>
        </is>
      </c>
      <c r="AA218" s="7" t="inlineStr">
        <is>
          <t>bh_m</t>
        </is>
      </c>
      <c r="AB218" s="7" t="inlineStr">
        <is>
          <t>fx</t>
        </is>
      </c>
      <c r="AC218" s="7" t="inlineStr">
        <is>
          <t>fz</t>
        </is>
      </c>
      <c r="AD218" s="7" t="inlineStr">
        <is>
          <t>m</t>
        </is>
      </c>
    </row>
    <row r="219">
      <c r="A219" s="3">
        <f>Inputs!$A$138</f>
        <v/>
      </c>
      <c r="B219" s="3">
        <f>Geometry!$B$58</f>
        <v/>
      </c>
      <c r="C219" s="3">
        <f>IF(Loads!$A$219=1,Inputs!$C$138&amp;"","")</f>
        <v/>
      </c>
      <c r="D219" s="3">
        <f>Geometry!$K$58</f>
        <v/>
      </c>
      <c r="E219" s="3">
        <f>Geometry!$L$58</f>
        <v/>
      </c>
      <c r="F219" s="3">
        <f>IF(Loads!$A$219=1,SUMIFS(Loads!$V$153:$V$212,Inputs!$C$224:$C$283,Loads!$B$219)+SUMIFS(Loads!$V$153:$V$212,Inputs!$D$224:$D$283,Loads!$B$219),0)</f>
        <v/>
      </c>
      <c r="G219" s="3">
        <f>IF(Loads!$A$219=1,SUMIFS(Loads!$K$139:$K$146,Loads!$I$139:$I$146,Loads!$B$219),0)</f>
        <v/>
      </c>
      <c r="H219" s="3">
        <f>Loads!$F$219+Loads!$G$219</f>
        <v/>
      </c>
      <c r="I219" s="3">
        <f>Loads!$H$219*Loads!$B$15+(-Loads!$H$219*(Loads!$B$17+Loads!$B$19*(Loads!$E$219-Loads!$B$14)))</f>
        <v/>
      </c>
      <c r="J219" s="3">
        <f>Loads!$H$219*Loads!$B$16+(-Loads!$H$219*(Loads!$B$18-Loads!$B$19*(Loads!$D$219-Loads!$B$13)))</f>
        <v/>
      </c>
      <c r="K219" s="3">
        <f>Loads!$D$219*Loads!$J$219-Loads!$E$219*Loads!$I$219</f>
        <v/>
      </c>
      <c r="L219" s="3">
        <f>IF(Loads!$A$219=1,SUMIFS(Loads!$L$139:$L$146,Inputs!$D$304:$D$311,Loads!$B$219),0)</f>
        <v/>
      </c>
      <c r="M219" s="3">
        <f>Loads!$L$219*Loads!$B$15</f>
        <v/>
      </c>
      <c r="N219" s="3">
        <f>Loads!$L$219*Loads!$B$16</f>
        <v/>
      </c>
      <c r="O219" s="3">
        <f>Loads!$D$219*Loads!$N$219-Loads!$E$219*Loads!$M$219</f>
        <v/>
      </c>
      <c r="P219" s="3">
        <f>-Loads!$L$219*(Loads!$B$17+Loads!$B$19*(Loads!$E$219-Loads!$B$14))</f>
        <v/>
      </c>
      <c r="Q219" s="3">
        <f>-Loads!$L$219*(Loads!$B$18-Loads!$B$19*(Loads!$D$219-Loads!$B$13))</f>
        <v/>
      </c>
      <c r="R219" s="3">
        <f>Loads!$D$219*Loads!$Q$219-Loads!$E$219*Loads!$P$219</f>
        <v/>
      </c>
      <c r="S219" s="3">
        <f>IF(AND(Loads!$A$219=1,Loads!$B$26=1),-Loads!$B$24,0)</f>
        <v/>
      </c>
      <c r="T219" s="3">
        <f>IF(AND(Loads!$A$219=1,Loads!$B$27=1),Loads!$B$25,0)</f>
        <v/>
      </c>
      <c r="U219" s="3">
        <f>Loads!$D$219*Loads!$S$219-Loads!$E$219*Loads!$T$219</f>
        <v/>
      </c>
      <c r="V219" s="3">
        <f>IF(Loads!$A$219=1,SUMIFS(Loads!$P$153:$P$212,Inputs!$C$224:$C$283,Loads!$B$219)-SUMIFS(Loads!$P$153:$P$212,Inputs!$D$224:$D$283,Loads!$B$219),0)</f>
        <v/>
      </c>
      <c r="W219" s="3">
        <f>IF(Loads!$A$219=1,SUMIFS(Loads!$Q$153:$Q$212,Inputs!$C$224:$C$283,Loads!$B$219)-SUMIFS(Loads!$Q$153:$Q$212,Inputs!$D$224:$D$283,Loads!$B$219),0)</f>
        <v/>
      </c>
      <c r="X219" s="3">
        <f>Loads!$D$219*Loads!$W$219-Loads!$E$219*Loads!$V$219</f>
        <v/>
      </c>
      <c r="Y219" s="3">
        <f>IF(Loads!$A$219=1,SUMIFS(Loads!$R$153:$R$212,Inputs!$C$224:$C$283,Loads!$B$219)-SUMIFS(Loads!$R$153:$R$212,Inputs!$D$224:$D$283,Loads!$B$219),0)</f>
        <v/>
      </c>
      <c r="Z219" s="3">
        <f>IF(Loads!$A$219=1,SUMIFS(Loads!$S$153:$S$212,Inputs!$C$224:$C$283,Loads!$B$219)-SUMIFS(Loads!$S$153:$S$212,Inputs!$D$224:$D$283,Loads!$B$219),0)</f>
        <v/>
      </c>
      <c r="AA219" s="3">
        <f>Loads!$D$219*Loads!$Z$219-Loads!$E$219*Loads!$Y$219</f>
        <v/>
      </c>
      <c r="AB219" s="3">
        <f>Loads!$I$219+Loads!$M$219+Loads!$P$219+Loads!$V$219+Loads!$T$219</f>
        <v/>
      </c>
      <c r="AC219" s="3">
        <f>Loads!$J$219+Loads!$N$219+Loads!$Q$219+Loads!$W$219+Loads!$S$219</f>
        <v/>
      </c>
      <c r="AD219" s="3">
        <f>Loads!$K$219+Loads!$O$219+Loads!$R$219+Loads!$X$219+Loads!$U$219</f>
        <v/>
      </c>
    </row>
    <row r="220">
      <c r="A220" s="3">
        <f>Inputs!$A$139</f>
        <v/>
      </c>
      <c r="B220" s="3">
        <f>Geometry!$B$59</f>
        <v/>
      </c>
      <c r="C220" s="3">
        <f>IF(Loads!$A$220=1,Inputs!$C$139&amp;"","")</f>
        <v/>
      </c>
      <c r="D220" s="3">
        <f>Geometry!$K$59</f>
        <v/>
      </c>
      <c r="E220" s="3">
        <f>Geometry!$L$59</f>
        <v/>
      </c>
      <c r="F220" s="3">
        <f>IF(Loads!$A$220=1,SUMIFS(Loads!$V$153:$V$212,Inputs!$C$224:$C$283,Loads!$B$220)+SUMIFS(Loads!$V$153:$V$212,Inputs!$D$224:$D$283,Loads!$B$220),0)</f>
        <v/>
      </c>
      <c r="G220" s="3">
        <f>IF(Loads!$A$220=1,SUMIFS(Loads!$K$139:$K$146,Loads!$I$139:$I$146,Loads!$B$220),0)</f>
        <v/>
      </c>
      <c r="H220" s="3">
        <f>Loads!$F$220+Loads!$G$220</f>
        <v/>
      </c>
      <c r="I220" s="3">
        <f>Loads!$H$220*Loads!$B$15+(-Loads!$H$220*(Loads!$B$17+Loads!$B$19*(Loads!$E$220-Loads!$B$14)))</f>
        <v/>
      </c>
      <c r="J220" s="3">
        <f>Loads!$H$220*Loads!$B$16+(-Loads!$H$220*(Loads!$B$18-Loads!$B$19*(Loads!$D$220-Loads!$B$13)))</f>
        <v/>
      </c>
      <c r="K220" s="3">
        <f>Loads!$D$220*Loads!$J$220-Loads!$E$220*Loads!$I$220</f>
        <v/>
      </c>
      <c r="L220" s="3">
        <f>IF(Loads!$A$220=1,SUMIFS(Loads!$L$139:$L$146,Inputs!$D$304:$D$311,Loads!$B$220),0)</f>
        <v/>
      </c>
      <c r="M220" s="3">
        <f>Loads!$L$220*Loads!$B$15</f>
        <v/>
      </c>
      <c r="N220" s="3">
        <f>Loads!$L$220*Loads!$B$16</f>
        <v/>
      </c>
      <c r="O220" s="3">
        <f>Loads!$D$220*Loads!$N$220-Loads!$E$220*Loads!$M$220</f>
        <v/>
      </c>
      <c r="P220" s="3">
        <f>-Loads!$L$220*(Loads!$B$17+Loads!$B$19*(Loads!$E$220-Loads!$B$14))</f>
        <v/>
      </c>
      <c r="Q220" s="3">
        <f>-Loads!$L$220*(Loads!$B$18-Loads!$B$19*(Loads!$D$220-Loads!$B$13))</f>
        <v/>
      </c>
      <c r="R220" s="3">
        <f>Loads!$D$220*Loads!$Q$220-Loads!$E$220*Loads!$P$220</f>
        <v/>
      </c>
      <c r="S220" s="3">
        <f>IF(AND(Loads!$A$220=1,Loads!$B$26=2),-Loads!$B$24,0)</f>
        <v/>
      </c>
      <c r="T220" s="3">
        <f>IF(AND(Loads!$A$220=1,Loads!$B$27=2),Loads!$B$25,0)</f>
        <v/>
      </c>
      <c r="U220" s="3">
        <f>Loads!$D$220*Loads!$S$220-Loads!$E$220*Loads!$T$220</f>
        <v/>
      </c>
      <c r="V220" s="3">
        <f>IF(Loads!$A$220=1,SUMIFS(Loads!$P$153:$P$212,Inputs!$C$224:$C$283,Loads!$B$220)-SUMIFS(Loads!$P$153:$P$212,Inputs!$D$224:$D$283,Loads!$B$220),0)</f>
        <v/>
      </c>
      <c r="W220" s="3">
        <f>IF(Loads!$A$220=1,SUMIFS(Loads!$Q$153:$Q$212,Inputs!$C$224:$C$283,Loads!$B$220)-SUMIFS(Loads!$Q$153:$Q$212,Inputs!$D$224:$D$283,Loads!$B$220),0)</f>
        <v/>
      </c>
      <c r="X220" s="3">
        <f>Loads!$D$220*Loads!$W$220-Loads!$E$220*Loads!$V$220</f>
        <v/>
      </c>
      <c r="Y220" s="3">
        <f>IF(Loads!$A$220=1,SUMIFS(Loads!$R$153:$R$212,Inputs!$C$224:$C$283,Loads!$B$220)-SUMIFS(Loads!$R$153:$R$212,Inputs!$D$224:$D$283,Loads!$B$220),0)</f>
        <v/>
      </c>
      <c r="Z220" s="3">
        <f>IF(Loads!$A$220=1,SUMIFS(Loads!$S$153:$S$212,Inputs!$C$224:$C$283,Loads!$B$220)-SUMIFS(Loads!$S$153:$S$212,Inputs!$D$224:$D$283,Loads!$B$220),0)</f>
        <v/>
      </c>
      <c r="AA220" s="3">
        <f>Loads!$D$220*Loads!$Z$220-Loads!$E$220*Loads!$Y$220</f>
        <v/>
      </c>
      <c r="AB220" s="3">
        <f>Loads!$I$220+Loads!$M$220+Loads!$P$220+Loads!$V$220+Loads!$T$220</f>
        <v/>
      </c>
      <c r="AC220" s="3">
        <f>Loads!$J$220+Loads!$N$220+Loads!$Q$220+Loads!$W$220+Loads!$S$220</f>
        <v/>
      </c>
      <c r="AD220" s="3">
        <f>Loads!$K$220+Loads!$O$220+Loads!$R$220+Loads!$X$220+Loads!$U$220</f>
        <v/>
      </c>
    </row>
    <row r="221">
      <c r="A221" s="3">
        <f>Inputs!$A$140</f>
        <v/>
      </c>
      <c r="B221" s="3">
        <f>Geometry!$B$60</f>
        <v/>
      </c>
      <c r="C221" s="3">
        <f>IF(Loads!$A$221=1,Inputs!$C$140&amp;"","")</f>
        <v/>
      </c>
      <c r="D221" s="3">
        <f>Geometry!$K$60</f>
        <v/>
      </c>
      <c r="E221" s="3">
        <f>Geometry!$L$60</f>
        <v/>
      </c>
      <c r="F221" s="3">
        <f>IF(Loads!$A$221=1,SUMIFS(Loads!$V$153:$V$212,Inputs!$C$224:$C$283,Loads!$B$221)+SUMIFS(Loads!$V$153:$V$212,Inputs!$D$224:$D$283,Loads!$B$221),0)</f>
        <v/>
      </c>
      <c r="G221" s="3">
        <f>IF(Loads!$A$221=1,SUMIFS(Loads!$K$139:$K$146,Loads!$I$139:$I$146,Loads!$B$221),0)</f>
        <v/>
      </c>
      <c r="H221" s="3">
        <f>Loads!$F$221+Loads!$G$221</f>
        <v/>
      </c>
      <c r="I221" s="3">
        <f>Loads!$H$221*Loads!$B$15+(-Loads!$H$221*(Loads!$B$17+Loads!$B$19*(Loads!$E$221-Loads!$B$14)))</f>
        <v/>
      </c>
      <c r="J221" s="3">
        <f>Loads!$H$221*Loads!$B$16+(-Loads!$H$221*(Loads!$B$18-Loads!$B$19*(Loads!$D$221-Loads!$B$13)))</f>
        <v/>
      </c>
      <c r="K221" s="3">
        <f>Loads!$D$221*Loads!$J$221-Loads!$E$221*Loads!$I$221</f>
        <v/>
      </c>
      <c r="L221" s="3">
        <f>IF(Loads!$A$221=1,SUMIFS(Loads!$L$139:$L$146,Inputs!$D$304:$D$311,Loads!$B$221),0)</f>
        <v/>
      </c>
      <c r="M221" s="3">
        <f>Loads!$L$221*Loads!$B$15</f>
        <v/>
      </c>
      <c r="N221" s="3">
        <f>Loads!$L$221*Loads!$B$16</f>
        <v/>
      </c>
      <c r="O221" s="3">
        <f>Loads!$D$221*Loads!$N$221-Loads!$E$221*Loads!$M$221</f>
        <v/>
      </c>
      <c r="P221" s="3">
        <f>-Loads!$L$221*(Loads!$B$17+Loads!$B$19*(Loads!$E$221-Loads!$B$14))</f>
        <v/>
      </c>
      <c r="Q221" s="3">
        <f>-Loads!$L$221*(Loads!$B$18-Loads!$B$19*(Loads!$D$221-Loads!$B$13))</f>
        <v/>
      </c>
      <c r="R221" s="3">
        <f>Loads!$D$221*Loads!$Q$221-Loads!$E$221*Loads!$P$221</f>
        <v/>
      </c>
      <c r="S221" s="3">
        <f>IF(AND(Loads!$A$221=1,Loads!$B$26=3),-Loads!$B$24,0)</f>
        <v/>
      </c>
      <c r="T221" s="3">
        <f>IF(AND(Loads!$A$221=1,Loads!$B$27=3),Loads!$B$25,0)</f>
        <v/>
      </c>
      <c r="U221" s="3">
        <f>Loads!$D$221*Loads!$S$221-Loads!$E$221*Loads!$T$221</f>
        <v/>
      </c>
      <c r="V221" s="3">
        <f>IF(Loads!$A$221=1,SUMIFS(Loads!$P$153:$P$212,Inputs!$C$224:$C$283,Loads!$B$221)-SUMIFS(Loads!$P$153:$P$212,Inputs!$D$224:$D$283,Loads!$B$221),0)</f>
        <v/>
      </c>
      <c r="W221" s="3">
        <f>IF(Loads!$A$221=1,SUMIFS(Loads!$Q$153:$Q$212,Inputs!$C$224:$C$283,Loads!$B$221)-SUMIFS(Loads!$Q$153:$Q$212,Inputs!$D$224:$D$283,Loads!$B$221),0)</f>
        <v/>
      </c>
      <c r="X221" s="3">
        <f>Loads!$D$221*Loads!$W$221-Loads!$E$221*Loads!$V$221</f>
        <v/>
      </c>
      <c r="Y221" s="3">
        <f>IF(Loads!$A$221=1,SUMIFS(Loads!$R$153:$R$212,Inputs!$C$224:$C$283,Loads!$B$221)-SUMIFS(Loads!$R$153:$R$212,Inputs!$D$224:$D$283,Loads!$B$221),0)</f>
        <v/>
      </c>
      <c r="Z221" s="3">
        <f>IF(Loads!$A$221=1,SUMIFS(Loads!$S$153:$S$212,Inputs!$C$224:$C$283,Loads!$B$221)-SUMIFS(Loads!$S$153:$S$212,Inputs!$D$224:$D$283,Loads!$B$221),0)</f>
        <v/>
      </c>
      <c r="AA221" s="3">
        <f>Loads!$D$221*Loads!$Z$221-Loads!$E$221*Loads!$Y$221</f>
        <v/>
      </c>
      <c r="AB221" s="3">
        <f>Loads!$I$221+Loads!$M$221+Loads!$P$221+Loads!$V$221+Loads!$T$221</f>
        <v/>
      </c>
      <c r="AC221" s="3">
        <f>Loads!$J$221+Loads!$N$221+Loads!$Q$221+Loads!$W$221+Loads!$S$221</f>
        <v/>
      </c>
      <c r="AD221" s="3">
        <f>Loads!$K$221+Loads!$O$221+Loads!$R$221+Loads!$X$221+Loads!$U$221</f>
        <v/>
      </c>
    </row>
    <row r="222">
      <c r="A222" s="3">
        <f>Inputs!$A$141</f>
        <v/>
      </c>
      <c r="B222" s="3">
        <f>Geometry!$B$61</f>
        <v/>
      </c>
      <c r="C222" s="3">
        <f>IF(Loads!$A$222=1,Inputs!$C$141&amp;"","")</f>
        <v/>
      </c>
      <c r="D222" s="3">
        <f>Geometry!$K$61</f>
        <v/>
      </c>
      <c r="E222" s="3">
        <f>Geometry!$L$61</f>
        <v/>
      </c>
      <c r="F222" s="3">
        <f>IF(Loads!$A$222=1,SUMIFS(Loads!$V$153:$V$212,Inputs!$C$224:$C$283,Loads!$B$222)+SUMIFS(Loads!$V$153:$V$212,Inputs!$D$224:$D$283,Loads!$B$222),0)</f>
        <v/>
      </c>
      <c r="G222" s="3">
        <f>IF(Loads!$A$222=1,SUMIFS(Loads!$K$139:$K$146,Loads!$I$139:$I$146,Loads!$B$222),0)</f>
        <v/>
      </c>
      <c r="H222" s="3">
        <f>Loads!$F$222+Loads!$G$222</f>
        <v/>
      </c>
      <c r="I222" s="3">
        <f>Loads!$H$222*Loads!$B$15+(-Loads!$H$222*(Loads!$B$17+Loads!$B$19*(Loads!$E$222-Loads!$B$14)))</f>
        <v/>
      </c>
      <c r="J222" s="3">
        <f>Loads!$H$222*Loads!$B$16+(-Loads!$H$222*(Loads!$B$18-Loads!$B$19*(Loads!$D$222-Loads!$B$13)))</f>
        <v/>
      </c>
      <c r="K222" s="3">
        <f>Loads!$D$222*Loads!$J$222-Loads!$E$222*Loads!$I$222</f>
        <v/>
      </c>
      <c r="L222" s="3">
        <f>IF(Loads!$A$222=1,SUMIFS(Loads!$L$139:$L$146,Inputs!$D$304:$D$311,Loads!$B$222),0)</f>
        <v/>
      </c>
      <c r="M222" s="3">
        <f>Loads!$L$222*Loads!$B$15</f>
        <v/>
      </c>
      <c r="N222" s="3">
        <f>Loads!$L$222*Loads!$B$16</f>
        <v/>
      </c>
      <c r="O222" s="3">
        <f>Loads!$D$222*Loads!$N$222-Loads!$E$222*Loads!$M$222</f>
        <v/>
      </c>
      <c r="P222" s="3">
        <f>-Loads!$L$222*(Loads!$B$17+Loads!$B$19*(Loads!$E$222-Loads!$B$14))</f>
        <v/>
      </c>
      <c r="Q222" s="3">
        <f>-Loads!$L$222*(Loads!$B$18-Loads!$B$19*(Loads!$D$222-Loads!$B$13))</f>
        <v/>
      </c>
      <c r="R222" s="3">
        <f>Loads!$D$222*Loads!$Q$222-Loads!$E$222*Loads!$P$222</f>
        <v/>
      </c>
      <c r="S222" s="3">
        <f>IF(AND(Loads!$A$222=1,Loads!$B$26=4),-Loads!$B$24,0)</f>
        <v/>
      </c>
      <c r="T222" s="3">
        <f>IF(AND(Loads!$A$222=1,Loads!$B$27=4),Loads!$B$25,0)</f>
        <v/>
      </c>
      <c r="U222" s="3">
        <f>Loads!$D$222*Loads!$S$222-Loads!$E$222*Loads!$T$222</f>
        <v/>
      </c>
      <c r="V222" s="3">
        <f>IF(Loads!$A$222=1,SUMIFS(Loads!$P$153:$P$212,Inputs!$C$224:$C$283,Loads!$B$222)-SUMIFS(Loads!$P$153:$P$212,Inputs!$D$224:$D$283,Loads!$B$222),0)</f>
        <v/>
      </c>
      <c r="W222" s="3">
        <f>IF(Loads!$A$222=1,SUMIFS(Loads!$Q$153:$Q$212,Inputs!$C$224:$C$283,Loads!$B$222)-SUMIFS(Loads!$Q$153:$Q$212,Inputs!$D$224:$D$283,Loads!$B$222),0)</f>
        <v/>
      </c>
      <c r="X222" s="3">
        <f>Loads!$D$222*Loads!$W$222-Loads!$E$222*Loads!$V$222</f>
        <v/>
      </c>
      <c r="Y222" s="3">
        <f>IF(Loads!$A$222=1,SUMIFS(Loads!$R$153:$R$212,Inputs!$C$224:$C$283,Loads!$B$222)-SUMIFS(Loads!$R$153:$R$212,Inputs!$D$224:$D$283,Loads!$B$222),0)</f>
        <v/>
      </c>
      <c r="Z222" s="3">
        <f>IF(Loads!$A$222=1,SUMIFS(Loads!$S$153:$S$212,Inputs!$C$224:$C$283,Loads!$B$222)-SUMIFS(Loads!$S$153:$S$212,Inputs!$D$224:$D$283,Loads!$B$222),0)</f>
        <v/>
      </c>
      <c r="AA222" s="3">
        <f>Loads!$D$222*Loads!$Z$222-Loads!$E$222*Loads!$Y$222</f>
        <v/>
      </c>
      <c r="AB222" s="3">
        <f>Loads!$I$222+Loads!$M$222+Loads!$P$222+Loads!$V$222+Loads!$T$222</f>
        <v/>
      </c>
      <c r="AC222" s="3">
        <f>Loads!$J$222+Loads!$N$222+Loads!$Q$222+Loads!$W$222+Loads!$S$222</f>
        <v/>
      </c>
      <c r="AD222" s="3">
        <f>Loads!$K$222+Loads!$O$222+Loads!$R$222+Loads!$X$222+Loads!$U$222</f>
        <v/>
      </c>
    </row>
    <row r="223">
      <c r="A223" s="3">
        <f>Inputs!$A$142</f>
        <v/>
      </c>
      <c r="B223" s="3">
        <f>Geometry!$B$62</f>
        <v/>
      </c>
      <c r="C223" s="3">
        <f>IF(Loads!$A$223=1,Inputs!$C$142&amp;"","")</f>
        <v/>
      </c>
      <c r="D223" s="3">
        <f>Geometry!$K$62</f>
        <v/>
      </c>
      <c r="E223" s="3">
        <f>Geometry!$L$62</f>
        <v/>
      </c>
      <c r="F223" s="3">
        <f>IF(Loads!$A$223=1,SUMIFS(Loads!$V$153:$V$212,Inputs!$C$224:$C$283,Loads!$B$223)+SUMIFS(Loads!$V$153:$V$212,Inputs!$D$224:$D$283,Loads!$B$223),0)</f>
        <v/>
      </c>
      <c r="G223" s="3">
        <f>IF(Loads!$A$223=1,SUMIFS(Loads!$K$139:$K$146,Loads!$I$139:$I$146,Loads!$B$223),0)</f>
        <v/>
      </c>
      <c r="H223" s="3">
        <f>Loads!$F$223+Loads!$G$223</f>
        <v/>
      </c>
      <c r="I223" s="3">
        <f>Loads!$H$223*Loads!$B$15+(-Loads!$H$223*(Loads!$B$17+Loads!$B$19*(Loads!$E$223-Loads!$B$14)))</f>
        <v/>
      </c>
      <c r="J223" s="3">
        <f>Loads!$H$223*Loads!$B$16+(-Loads!$H$223*(Loads!$B$18-Loads!$B$19*(Loads!$D$223-Loads!$B$13)))</f>
        <v/>
      </c>
      <c r="K223" s="3">
        <f>Loads!$D$223*Loads!$J$223-Loads!$E$223*Loads!$I$223</f>
        <v/>
      </c>
      <c r="L223" s="3">
        <f>IF(Loads!$A$223=1,SUMIFS(Loads!$L$139:$L$146,Inputs!$D$304:$D$311,Loads!$B$223),0)</f>
        <v/>
      </c>
      <c r="M223" s="3">
        <f>Loads!$L$223*Loads!$B$15</f>
        <v/>
      </c>
      <c r="N223" s="3">
        <f>Loads!$L$223*Loads!$B$16</f>
        <v/>
      </c>
      <c r="O223" s="3">
        <f>Loads!$D$223*Loads!$N$223-Loads!$E$223*Loads!$M$223</f>
        <v/>
      </c>
      <c r="P223" s="3">
        <f>-Loads!$L$223*(Loads!$B$17+Loads!$B$19*(Loads!$E$223-Loads!$B$14))</f>
        <v/>
      </c>
      <c r="Q223" s="3">
        <f>-Loads!$L$223*(Loads!$B$18-Loads!$B$19*(Loads!$D$223-Loads!$B$13))</f>
        <v/>
      </c>
      <c r="R223" s="3">
        <f>Loads!$D$223*Loads!$Q$223-Loads!$E$223*Loads!$P$223</f>
        <v/>
      </c>
      <c r="S223" s="3">
        <f>IF(AND(Loads!$A$223=1,Loads!$B$26=5),-Loads!$B$24,0)</f>
        <v/>
      </c>
      <c r="T223" s="3">
        <f>IF(AND(Loads!$A$223=1,Loads!$B$27=5),Loads!$B$25,0)</f>
        <v/>
      </c>
      <c r="U223" s="3">
        <f>Loads!$D$223*Loads!$S$223-Loads!$E$223*Loads!$T$223</f>
        <v/>
      </c>
      <c r="V223" s="3">
        <f>IF(Loads!$A$223=1,SUMIFS(Loads!$P$153:$P$212,Inputs!$C$224:$C$283,Loads!$B$223)-SUMIFS(Loads!$P$153:$P$212,Inputs!$D$224:$D$283,Loads!$B$223),0)</f>
        <v/>
      </c>
      <c r="W223" s="3">
        <f>IF(Loads!$A$223=1,SUMIFS(Loads!$Q$153:$Q$212,Inputs!$C$224:$C$283,Loads!$B$223)-SUMIFS(Loads!$Q$153:$Q$212,Inputs!$D$224:$D$283,Loads!$B$223),0)</f>
        <v/>
      </c>
      <c r="X223" s="3">
        <f>Loads!$D$223*Loads!$W$223-Loads!$E$223*Loads!$V$223</f>
        <v/>
      </c>
      <c r="Y223" s="3">
        <f>IF(Loads!$A$223=1,SUMIFS(Loads!$R$153:$R$212,Inputs!$C$224:$C$283,Loads!$B$223)-SUMIFS(Loads!$R$153:$R$212,Inputs!$D$224:$D$283,Loads!$B$223),0)</f>
        <v/>
      </c>
      <c r="Z223" s="3">
        <f>IF(Loads!$A$223=1,SUMIFS(Loads!$S$153:$S$212,Inputs!$C$224:$C$283,Loads!$B$223)-SUMIFS(Loads!$S$153:$S$212,Inputs!$D$224:$D$283,Loads!$B$223),0)</f>
        <v/>
      </c>
      <c r="AA223" s="3">
        <f>Loads!$D$223*Loads!$Z$223-Loads!$E$223*Loads!$Y$223</f>
        <v/>
      </c>
      <c r="AB223" s="3">
        <f>Loads!$I$223+Loads!$M$223+Loads!$P$223+Loads!$V$223+Loads!$T$223</f>
        <v/>
      </c>
      <c r="AC223" s="3">
        <f>Loads!$J$223+Loads!$N$223+Loads!$Q$223+Loads!$W$223+Loads!$S$223</f>
        <v/>
      </c>
      <c r="AD223" s="3">
        <f>Loads!$K$223+Loads!$O$223+Loads!$R$223+Loads!$X$223+Loads!$U$223</f>
        <v/>
      </c>
    </row>
    <row r="224">
      <c r="A224" s="3">
        <f>Inputs!$A$143</f>
        <v/>
      </c>
      <c r="B224" s="3">
        <f>Geometry!$B$63</f>
        <v/>
      </c>
      <c r="C224" s="3">
        <f>IF(Loads!$A$224=1,Inputs!$C$143&amp;"","")</f>
        <v/>
      </c>
      <c r="D224" s="3">
        <f>Geometry!$K$63</f>
        <v/>
      </c>
      <c r="E224" s="3">
        <f>Geometry!$L$63</f>
        <v/>
      </c>
      <c r="F224" s="3">
        <f>IF(Loads!$A$224=1,SUMIFS(Loads!$V$153:$V$212,Inputs!$C$224:$C$283,Loads!$B$224)+SUMIFS(Loads!$V$153:$V$212,Inputs!$D$224:$D$283,Loads!$B$224),0)</f>
        <v/>
      </c>
      <c r="G224" s="3">
        <f>IF(Loads!$A$224=1,SUMIFS(Loads!$K$139:$K$146,Loads!$I$139:$I$146,Loads!$B$224),0)</f>
        <v/>
      </c>
      <c r="H224" s="3">
        <f>Loads!$F$224+Loads!$G$224</f>
        <v/>
      </c>
      <c r="I224" s="3">
        <f>Loads!$H$224*Loads!$B$15+(-Loads!$H$224*(Loads!$B$17+Loads!$B$19*(Loads!$E$224-Loads!$B$14)))</f>
        <v/>
      </c>
      <c r="J224" s="3">
        <f>Loads!$H$224*Loads!$B$16+(-Loads!$H$224*(Loads!$B$18-Loads!$B$19*(Loads!$D$224-Loads!$B$13)))</f>
        <v/>
      </c>
      <c r="K224" s="3">
        <f>Loads!$D$224*Loads!$J$224-Loads!$E$224*Loads!$I$224</f>
        <v/>
      </c>
      <c r="L224" s="3">
        <f>IF(Loads!$A$224=1,SUMIFS(Loads!$L$139:$L$146,Inputs!$D$304:$D$311,Loads!$B$224),0)</f>
        <v/>
      </c>
      <c r="M224" s="3">
        <f>Loads!$L$224*Loads!$B$15</f>
        <v/>
      </c>
      <c r="N224" s="3">
        <f>Loads!$L$224*Loads!$B$16</f>
        <v/>
      </c>
      <c r="O224" s="3">
        <f>Loads!$D$224*Loads!$N$224-Loads!$E$224*Loads!$M$224</f>
        <v/>
      </c>
      <c r="P224" s="3">
        <f>-Loads!$L$224*(Loads!$B$17+Loads!$B$19*(Loads!$E$224-Loads!$B$14))</f>
        <v/>
      </c>
      <c r="Q224" s="3">
        <f>-Loads!$L$224*(Loads!$B$18-Loads!$B$19*(Loads!$D$224-Loads!$B$13))</f>
        <v/>
      </c>
      <c r="R224" s="3">
        <f>Loads!$D$224*Loads!$Q$224-Loads!$E$224*Loads!$P$224</f>
        <v/>
      </c>
      <c r="S224" s="3">
        <f>IF(AND(Loads!$A$224=1,Loads!$B$26=6),-Loads!$B$24,0)</f>
        <v/>
      </c>
      <c r="T224" s="3">
        <f>IF(AND(Loads!$A$224=1,Loads!$B$27=6),Loads!$B$25,0)</f>
        <v/>
      </c>
      <c r="U224" s="3">
        <f>Loads!$D$224*Loads!$S$224-Loads!$E$224*Loads!$T$224</f>
        <v/>
      </c>
      <c r="V224" s="3">
        <f>IF(Loads!$A$224=1,SUMIFS(Loads!$P$153:$P$212,Inputs!$C$224:$C$283,Loads!$B$224)-SUMIFS(Loads!$P$153:$P$212,Inputs!$D$224:$D$283,Loads!$B$224),0)</f>
        <v/>
      </c>
      <c r="W224" s="3">
        <f>IF(Loads!$A$224=1,SUMIFS(Loads!$Q$153:$Q$212,Inputs!$C$224:$C$283,Loads!$B$224)-SUMIFS(Loads!$Q$153:$Q$212,Inputs!$D$224:$D$283,Loads!$B$224),0)</f>
        <v/>
      </c>
      <c r="X224" s="3">
        <f>Loads!$D$224*Loads!$W$224-Loads!$E$224*Loads!$V$224</f>
        <v/>
      </c>
      <c r="Y224" s="3">
        <f>IF(Loads!$A$224=1,SUMIFS(Loads!$R$153:$R$212,Inputs!$C$224:$C$283,Loads!$B$224)-SUMIFS(Loads!$R$153:$R$212,Inputs!$D$224:$D$283,Loads!$B$224),0)</f>
        <v/>
      </c>
      <c r="Z224" s="3">
        <f>IF(Loads!$A$224=1,SUMIFS(Loads!$S$153:$S$212,Inputs!$C$224:$C$283,Loads!$B$224)-SUMIFS(Loads!$S$153:$S$212,Inputs!$D$224:$D$283,Loads!$B$224),0)</f>
        <v/>
      </c>
      <c r="AA224" s="3">
        <f>Loads!$D$224*Loads!$Z$224-Loads!$E$224*Loads!$Y$224</f>
        <v/>
      </c>
      <c r="AB224" s="3">
        <f>Loads!$I$224+Loads!$M$224+Loads!$P$224+Loads!$V$224+Loads!$T$224</f>
        <v/>
      </c>
      <c r="AC224" s="3">
        <f>Loads!$J$224+Loads!$N$224+Loads!$Q$224+Loads!$W$224+Loads!$S$224</f>
        <v/>
      </c>
      <c r="AD224" s="3">
        <f>Loads!$K$224+Loads!$O$224+Loads!$R$224+Loads!$X$224+Loads!$U$224</f>
        <v/>
      </c>
    </row>
    <row r="225">
      <c r="A225" s="3">
        <f>Inputs!$A$144</f>
        <v/>
      </c>
      <c r="B225" s="3">
        <f>Geometry!$B$64</f>
        <v/>
      </c>
      <c r="C225" s="3">
        <f>IF(Loads!$A$225=1,Inputs!$C$144&amp;"","")</f>
        <v/>
      </c>
      <c r="D225" s="3">
        <f>Geometry!$K$64</f>
        <v/>
      </c>
      <c r="E225" s="3">
        <f>Geometry!$L$64</f>
        <v/>
      </c>
      <c r="F225" s="3">
        <f>IF(Loads!$A$225=1,SUMIFS(Loads!$V$153:$V$212,Inputs!$C$224:$C$283,Loads!$B$225)+SUMIFS(Loads!$V$153:$V$212,Inputs!$D$224:$D$283,Loads!$B$225),0)</f>
        <v/>
      </c>
      <c r="G225" s="3">
        <f>IF(Loads!$A$225=1,SUMIFS(Loads!$K$139:$K$146,Loads!$I$139:$I$146,Loads!$B$225),0)</f>
        <v/>
      </c>
      <c r="H225" s="3">
        <f>Loads!$F$225+Loads!$G$225</f>
        <v/>
      </c>
      <c r="I225" s="3">
        <f>Loads!$H$225*Loads!$B$15+(-Loads!$H$225*(Loads!$B$17+Loads!$B$19*(Loads!$E$225-Loads!$B$14)))</f>
        <v/>
      </c>
      <c r="J225" s="3">
        <f>Loads!$H$225*Loads!$B$16+(-Loads!$H$225*(Loads!$B$18-Loads!$B$19*(Loads!$D$225-Loads!$B$13)))</f>
        <v/>
      </c>
      <c r="K225" s="3">
        <f>Loads!$D$225*Loads!$J$225-Loads!$E$225*Loads!$I$225</f>
        <v/>
      </c>
      <c r="L225" s="3">
        <f>IF(Loads!$A$225=1,SUMIFS(Loads!$L$139:$L$146,Inputs!$D$304:$D$311,Loads!$B$225),0)</f>
        <v/>
      </c>
      <c r="M225" s="3">
        <f>Loads!$L$225*Loads!$B$15</f>
        <v/>
      </c>
      <c r="N225" s="3">
        <f>Loads!$L$225*Loads!$B$16</f>
        <v/>
      </c>
      <c r="O225" s="3">
        <f>Loads!$D$225*Loads!$N$225-Loads!$E$225*Loads!$M$225</f>
        <v/>
      </c>
      <c r="P225" s="3">
        <f>-Loads!$L$225*(Loads!$B$17+Loads!$B$19*(Loads!$E$225-Loads!$B$14))</f>
        <v/>
      </c>
      <c r="Q225" s="3">
        <f>-Loads!$L$225*(Loads!$B$18-Loads!$B$19*(Loads!$D$225-Loads!$B$13))</f>
        <v/>
      </c>
      <c r="R225" s="3">
        <f>Loads!$D$225*Loads!$Q$225-Loads!$E$225*Loads!$P$225</f>
        <v/>
      </c>
      <c r="S225" s="3">
        <f>IF(AND(Loads!$A$225=1,Loads!$B$26=7),-Loads!$B$24,0)</f>
        <v/>
      </c>
      <c r="T225" s="3">
        <f>IF(AND(Loads!$A$225=1,Loads!$B$27=7),Loads!$B$25,0)</f>
        <v/>
      </c>
      <c r="U225" s="3">
        <f>Loads!$D$225*Loads!$S$225-Loads!$E$225*Loads!$T$225</f>
        <v/>
      </c>
      <c r="V225" s="3">
        <f>IF(Loads!$A$225=1,SUMIFS(Loads!$P$153:$P$212,Inputs!$C$224:$C$283,Loads!$B$225)-SUMIFS(Loads!$P$153:$P$212,Inputs!$D$224:$D$283,Loads!$B$225),0)</f>
        <v/>
      </c>
      <c r="W225" s="3">
        <f>IF(Loads!$A$225=1,SUMIFS(Loads!$Q$153:$Q$212,Inputs!$C$224:$C$283,Loads!$B$225)-SUMIFS(Loads!$Q$153:$Q$212,Inputs!$D$224:$D$283,Loads!$B$225),0)</f>
        <v/>
      </c>
      <c r="X225" s="3">
        <f>Loads!$D$225*Loads!$W$225-Loads!$E$225*Loads!$V$225</f>
        <v/>
      </c>
      <c r="Y225" s="3">
        <f>IF(Loads!$A$225=1,SUMIFS(Loads!$R$153:$R$212,Inputs!$C$224:$C$283,Loads!$B$225)-SUMIFS(Loads!$R$153:$R$212,Inputs!$D$224:$D$283,Loads!$B$225),0)</f>
        <v/>
      </c>
      <c r="Z225" s="3">
        <f>IF(Loads!$A$225=1,SUMIFS(Loads!$S$153:$S$212,Inputs!$C$224:$C$283,Loads!$B$225)-SUMIFS(Loads!$S$153:$S$212,Inputs!$D$224:$D$283,Loads!$B$225),0)</f>
        <v/>
      </c>
      <c r="AA225" s="3">
        <f>Loads!$D$225*Loads!$Z$225-Loads!$E$225*Loads!$Y$225</f>
        <v/>
      </c>
      <c r="AB225" s="3">
        <f>Loads!$I$225+Loads!$M$225+Loads!$P$225+Loads!$V$225+Loads!$T$225</f>
        <v/>
      </c>
      <c r="AC225" s="3">
        <f>Loads!$J$225+Loads!$N$225+Loads!$Q$225+Loads!$W$225+Loads!$S$225</f>
        <v/>
      </c>
      <c r="AD225" s="3">
        <f>Loads!$K$225+Loads!$O$225+Loads!$R$225+Loads!$X$225+Loads!$U$225</f>
        <v/>
      </c>
    </row>
    <row r="226">
      <c r="A226" s="3">
        <f>Inputs!$A$145</f>
        <v/>
      </c>
      <c r="B226" s="3">
        <f>Geometry!$B$65</f>
        <v/>
      </c>
      <c r="C226" s="3">
        <f>IF(Loads!$A$226=1,Inputs!$C$145&amp;"","")</f>
        <v/>
      </c>
      <c r="D226" s="3">
        <f>Geometry!$K$65</f>
        <v/>
      </c>
      <c r="E226" s="3">
        <f>Geometry!$L$65</f>
        <v/>
      </c>
      <c r="F226" s="3">
        <f>IF(Loads!$A$226=1,SUMIFS(Loads!$V$153:$V$212,Inputs!$C$224:$C$283,Loads!$B$226)+SUMIFS(Loads!$V$153:$V$212,Inputs!$D$224:$D$283,Loads!$B$226),0)</f>
        <v/>
      </c>
      <c r="G226" s="3">
        <f>IF(Loads!$A$226=1,SUMIFS(Loads!$K$139:$K$146,Loads!$I$139:$I$146,Loads!$B$226),0)</f>
        <v/>
      </c>
      <c r="H226" s="3">
        <f>Loads!$F$226+Loads!$G$226</f>
        <v/>
      </c>
      <c r="I226" s="3">
        <f>Loads!$H$226*Loads!$B$15+(-Loads!$H$226*(Loads!$B$17+Loads!$B$19*(Loads!$E$226-Loads!$B$14)))</f>
        <v/>
      </c>
      <c r="J226" s="3">
        <f>Loads!$H$226*Loads!$B$16+(-Loads!$H$226*(Loads!$B$18-Loads!$B$19*(Loads!$D$226-Loads!$B$13)))</f>
        <v/>
      </c>
      <c r="K226" s="3">
        <f>Loads!$D$226*Loads!$J$226-Loads!$E$226*Loads!$I$226</f>
        <v/>
      </c>
      <c r="L226" s="3">
        <f>IF(Loads!$A$226=1,SUMIFS(Loads!$L$139:$L$146,Inputs!$D$304:$D$311,Loads!$B$226),0)</f>
        <v/>
      </c>
      <c r="M226" s="3">
        <f>Loads!$L$226*Loads!$B$15</f>
        <v/>
      </c>
      <c r="N226" s="3">
        <f>Loads!$L$226*Loads!$B$16</f>
        <v/>
      </c>
      <c r="O226" s="3">
        <f>Loads!$D$226*Loads!$N$226-Loads!$E$226*Loads!$M$226</f>
        <v/>
      </c>
      <c r="P226" s="3">
        <f>-Loads!$L$226*(Loads!$B$17+Loads!$B$19*(Loads!$E$226-Loads!$B$14))</f>
        <v/>
      </c>
      <c r="Q226" s="3">
        <f>-Loads!$L$226*(Loads!$B$18-Loads!$B$19*(Loads!$D$226-Loads!$B$13))</f>
        <v/>
      </c>
      <c r="R226" s="3">
        <f>Loads!$D$226*Loads!$Q$226-Loads!$E$226*Loads!$P$226</f>
        <v/>
      </c>
      <c r="S226" s="3">
        <f>IF(AND(Loads!$A$226=1,Loads!$B$26=8),-Loads!$B$24,0)</f>
        <v/>
      </c>
      <c r="T226" s="3">
        <f>IF(AND(Loads!$A$226=1,Loads!$B$27=8),Loads!$B$25,0)</f>
        <v/>
      </c>
      <c r="U226" s="3">
        <f>Loads!$D$226*Loads!$S$226-Loads!$E$226*Loads!$T$226</f>
        <v/>
      </c>
      <c r="V226" s="3">
        <f>IF(Loads!$A$226=1,SUMIFS(Loads!$P$153:$P$212,Inputs!$C$224:$C$283,Loads!$B$226)-SUMIFS(Loads!$P$153:$P$212,Inputs!$D$224:$D$283,Loads!$B$226),0)</f>
        <v/>
      </c>
      <c r="W226" s="3">
        <f>IF(Loads!$A$226=1,SUMIFS(Loads!$Q$153:$Q$212,Inputs!$C$224:$C$283,Loads!$B$226)-SUMIFS(Loads!$Q$153:$Q$212,Inputs!$D$224:$D$283,Loads!$B$226),0)</f>
        <v/>
      </c>
      <c r="X226" s="3">
        <f>Loads!$D$226*Loads!$W$226-Loads!$E$226*Loads!$V$226</f>
        <v/>
      </c>
      <c r="Y226" s="3">
        <f>IF(Loads!$A$226=1,SUMIFS(Loads!$R$153:$R$212,Inputs!$C$224:$C$283,Loads!$B$226)-SUMIFS(Loads!$R$153:$R$212,Inputs!$D$224:$D$283,Loads!$B$226),0)</f>
        <v/>
      </c>
      <c r="Z226" s="3">
        <f>IF(Loads!$A$226=1,SUMIFS(Loads!$S$153:$S$212,Inputs!$C$224:$C$283,Loads!$B$226)-SUMIFS(Loads!$S$153:$S$212,Inputs!$D$224:$D$283,Loads!$B$226),0)</f>
        <v/>
      </c>
      <c r="AA226" s="3">
        <f>Loads!$D$226*Loads!$Z$226-Loads!$E$226*Loads!$Y$226</f>
        <v/>
      </c>
      <c r="AB226" s="3">
        <f>Loads!$I$226+Loads!$M$226+Loads!$P$226+Loads!$V$226+Loads!$T$226</f>
        <v/>
      </c>
      <c r="AC226" s="3">
        <f>Loads!$J$226+Loads!$N$226+Loads!$Q$226+Loads!$W$226+Loads!$S$226</f>
        <v/>
      </c>
      <c r="AD226" s="3">
        <f>Loads!$K$226+Loads!$O$226+Loads!$R$226+Loads!$X$226+Loads!$U$226</f>
        <v/>
      </c>
    </row>
    <row r="227">
      <c r="A227" s="3">
        <f>Inputs!$A$146</f>
        <v/>
      </c>
      <c r="B227" s="3">
        <f>Geometry!$B$66</f>
        <v/>
      </c>
      <c r="C227" s="3">
        <f>IF(Loads!$A$227=1,Inputs!$C$146&amp;"","")</f>
        <v/>
      </c>
      <c r="D227" s="3">
        <f>Geometry!$K$66</f>
        <v/>
      </c>
      <c r="E227" s="3">
        <f>Geometry!$L$66</f>
        <v/>
      </c>
      <c r="F227" s="3">
        <f>IF(Loads!$A$227=1,SUMIFS(Loads!$V$153:$V$212,Inputs!$C$224:$C$283,Loads!$B$227)+SUMIFS(Loads!$V$153:$V$212,Inputs!$D$224:$D$283,Loads!$B$227),0)</f>
        <v/>
      </c>
      <c r="G227" s="3">
        <f>IF(Loads!$A$227=1,SUMIFS(Loads!$K$139:$K$146,Loads!$I$139:$I$146,Loads!$B$227),0)</f>
        <v/>
      </c>
      <c r="H227" s="3">
        <f>Loads!$F$227+Loads!$G$227</f>
        <v/>
      </c>
      <c r="I227" s="3">
        <f>Loads!$H$227*Loads!$B$15+(-Loads!$H$227*(Loads!$B$17+Loads!$B$19*(Loads!$E$227-Loads!$B$14)))</f>
        <v/>
      </c>
      <c r="J227" s="3">
        <f>Loads!$H$227*Loads!$B$16+(-Loads!$H$227*(Loads!$B$18-Loads!$B$19*(Loads!$D$227-Loads!$B$13)))</f>
        <v/>
      </c>
      <c r="K227" s="3">
        <f>Loads!$D$227*Loads!$J$227-Loads!$E$227*Loads!$I$227</f>
        <v/>
      </c>
      <c r="L227" s="3">
        <f>IF(Loads!$A$227=1,SUMIFS(Loads!$L$139:$L$146,Inputs!$D$304:$D$311,Loads!$B$227),0)</f>
        <v/>
      </c>
      <c r="M227" s="3">
        <f>Loads!$L$227*Loads!$B$15</f>
        <v/>
      </c>
      <c r="N227" s="3">
        <f>Loads!$L$227*Loads!$B$16</f>
        <v/>
      </c>
      <c r="O227" s="3">
        <f>Loads!$D$227*Loads!$N$227-Loads!$E$227*Loads!$M$227</f>
        <v/>
      </c>
      <c r="P227" s="3">
        <f>-Loads!$L$227*(Loads!$B$17+Loads!$B$19*(Loads!$E$227-Loads!$B$14))</f>
        <v/>
      </c>
      <c r="Q227" s="3">
        <f>-Loads!$L$227*(Loads!$B$18-Loads!$B$19*(Loads!$D$227-Loads!$B$13))</f>
        <v/>
      </c>
      <c r="R227" s="3">
        <f>Loads!$D$227*Loads!$Q$227-Loads!$E$227*Loads!$P$227</f>
        <v/>
      </c>
      <c r="S227" s="3">
        <f>IF(AND(Loads!$A$227=1,Loads!$B$26=9),-Loads!$B$24,0)</f>
        <v/>
      </c>
      <c r="T227" s="3">
        <f>IF(AND(Loads!$A$227=1,Loads!$B$27=9),Loads!$B$25,0)</f>
        <v/>
      </c>
      <c r="U227" s="3">
        <f>Loads!$D$227*Loads!$S$227-Loads!$E$227*Loads!$T$227</f>
        <v/>
      </c>
      <c r="V227" s="3">
        <f>IF(Loads!$A$227=1,SUMIFS(Loads!$P$153:$P$212,Inputs!$C$224:$C$283,Loads!$B$227)-SUMIFS(Loads!$P$153:$P$212,Inputs!$D$224:$D$283,Loads!$B$227),0)</f>
        <v/>
      </c>
      <c r="W227" s="3">
        <f>IF(Loads!$A$227=1,SUMIFS(Loads!$Q$153:$Q$212,Inputs!$C$224:$C$283,Loads!$B$227)-SUMIFS(Loads!$Q$153:$Q$212,Inputs!$D$224:$D$283,Loads!$B$227),0)</f>
        <v/>
      </c>
      <c r="X227" s="3">
        <f>Loads!$D$227*Loads!$W$227-Loads!$E$227*Loads!$V$227</f>
        <v/>
      </c>
      <c r="Y227" s="3">
        <f>IF(Loads!$A$227=1,SUMIFS(Loads!$R$153:$R$212,Inputs!$C$224:$C$283,Loads!$B$227)-SUMIFS(Loads!$R$153:$R$212,Inputs!$D$224:$D$283,Loads!$B$227),0)</f>
        <v/>
      </c>
      <c r="Z227" s="3">
        <f>IF(Loads!$A$227=1,SUMIFS(Loads!$S$153:$S$212,Inputs!$C$224:$C$283,Loads!$B$227)-SUMIFS(Loads!$S$153:$S$212,Inputs!$D$224:$D$283,Loads!$B$227),0)</f>
        <v/>
      </c>
      <c r="AA227" s="3">
        <f>Loads!$D$227*Loads!$Z$227-Loads!$E$227*Loads!$Y$227</f>
        <v/>
      </c>
      <c r="AB227" s="3">
        <f>Loads!$I$227+Loads!$M$227+Loads!$P$227+Loads!$V$227+Loads!$T$227</f>
        <v/>
      </c>
      <c r="AC227" s="3">
        <f>Loads!$J$227+Loads!$N$227+Loads!$Q$227+Loads!$W$227+Loads!$S$227</f>
        <v/>
      </c>
      <c r="AD227" s="3">
        <f>Loads!$K$227+Loads!$O$227+Loads!$R$227+Loads!$X$227+Loads!$U$227</f>
        <v/>
      </c>
    </row>
    <row r="228">
      <c r="A228" s="3">
        <f>Inputs!$A$147</f>
        <v/>
      </c>
      <c r="B228" s="3">
        <f>Geometry!$B$67</f>
        <v/>
      </c>
      <c r="C228" s="3">
        <f>IF(Loads!$A$228=1,Inputs!$C$147&amp;"","")</f>
        <v/>
      </c>
      <c r="D228" s="3">
        <f>Geometry!$K$67</f>
        <v/>
      </c>
      <c r="E228" s="3">
        <f>Geometry!$L$67</f>
        <v/>
      </c>
      <c r="F228" s="3">
        <f>IF(Loads!$A$228=1,SUMIFS(Loads!$V$153:$V$212,Inputs!$C$224:$C$283,Loads!$B$228)+SUMIFS(Loads!$V$153:$V$212,Inputs!$D$224:$D$283,Loads!$B$228),0)</f>
        <v/>
      </c>
      <c r="G228" s="3">
        <f>IF(Loads!$A$228=1,SUMIFS(Loads!$K$139:$K$146,Loads!$I$139:$I$146,Loads!$B$228),0)</f>
        <v/>
      </c>
      <c r="H228" s="3">
        <f>Loads!$F$228+Loads!$G$228</f>
        <v/>
      </c>
      <c r="I228" s="3">
        <f>Loads!$H$228*Loads!$B$15+(-Loads!$H$228*(Loads!$B$17+Loads!$B$19*(Loads!$E$228-Loads!$B$14)))</f>
        <v/>
      </c>
      <c r="J228" s="3">
        <f>Loads!$H$228*Loads!$B$16+(-Loads!$H$228*(Loads!$B$18-Loads!$B$19*(Loads!$D$228-Loads!$B$13)))</f>
        <v/>
      </c>
      <c r="K228" s="3">
        <f>Loads!$D$228*Loads!$J$228-Loads!$E$228*Loads!$I$228</f>
        <v/>
      </c>
      <c r="L228" s="3">
        <f>IF(Loads!$A$228=1,SUMIFS(Loads!$L$139:$L$146,Inputs!$D$304:$D$311,Loads!$B$228),0)</f>
        <v/>
      </c>
      <c r="M228" s="3">
        <f>Loads!$L$228*Loads!$B$15</f>
        <v/>
      </c>
      <c r="N228" s="3">
        <f>Loads!$L$228*Loads!$B$16</f>
        <v/>
      </c>
      <c r="O228" s="3">
        <f>Loads!$D$228*Loads!$N$228-Loads!$E$228*Loads!$M$228</f>
        <v/>
      </c>
      <c r="P228" s="3">
        <f>-Loads!$L$228*(Loads!$B$17+Loads!$B$19*(Loads!$E$228-Loads!$B$14))</f>
        <v/>
      </c>
      <c r="Q228" s="3">
        <f>-Loads!$L$228*(Loads!$B$18-Loads!$B$19*(Loads!$D$228-Loads!$B$13))</f>
        <v/>
      </c>
      <c r="R228" s="3">
        <f>Loads!$D$228*Loads!$Q$228-Loads!$E$228*Loads!$P$228</f>
        <v/>
      </c>
      <c r="S228" s="3">
        <f>IF(AND(Loads!$A$228=1,Loads!$B$26=10),-Loads!$B$24,0)</f>
        <v/>
      </c>
      <c r="T228" s="3">
        <f>IF(AND(Loads!$A$228=1,Loads!$B$27=10),Loads!$B$25,0)</f>
        <v/>
      </c>
      <c r="U228" s="3">
        <f>Loads!$D$228*Loads!$S$228-Loads!$E$228*Loads!$T$228</f>
        <v/>
      </c>
      <c r="V228" s="3">
        <f>IF(Loads!$A$228=1,SUMIFS(Loads!$P$153:$P$212,Inputs!$C$224:$C$283,Loads!$B$228)-SUMIFS(Loads!$P$153:$P$212,Inputs!$D$224:$D$283,Loads!$B$228),0)</f>
        <v/>
      </c>
      <c r="W228" s="3">
        <f>IF(Loads!$A$228=1,SUMIFS(Loads!$Q$153:$Q$212,Inputs!$C$224:$C$283,Loads!$B$228)-SUMIFS(Loads!$Q$153:$Q$212,Inputs!$D$224:$D$283,Loads!$B$228),0)</f>
        <v/>
      </c>
      <c r="X228" s="3">
        <f>Loads!$D$228*Loads!$W$228-Loads!$E$228*Loads!$V$228</f>
        <v/>
      </c>
      <c r="Y228" s="3">
        <f>IF(Loads!$A$228=1,SUMIFS(Loads!$R$153:$R$212,Inputs!$C$224:$C$283,Loads!$B$228)-SUMIFS(Loads!$R$153:$R$212,Inputs!$D$224:$D$283,Loads!$B$228),0)</f>
        <v/>
      </c>
      <c r="Z228" s="3">
        <f>IF(Loads!$A$228=1,SUMIFS(Loads!$S$153:$S$212,Inputs!$C$224:$C$283,Loads!$B$228)-SUMIFS(Loads!$S$153:$S$212,Inputs!$D$224:$D$283,Loads!$B$228),0)</f>
        <v/>
      </c>
      <c r="AA228" s="3">
        <f>Loads!$D$228*Loads!$Z$228-Loads!$E$228*Loads!$Y$228</f>
        <v/>
      </c>
      <c r="AB228" s="3">
        <f>Loads!$I$228+Loads!$M$228+Loads!$P$228+Loads!$V$228+Loads!$T$228</f>
        <v/>
      </c>
      <c r="AC228" s="3">
        <f>Loads!$J$228+Loads!$N$228+Loads!$Q$228+Loads!$W$228+Loads!$S$228</f>
        <v/>
      </c>
      <c r="AD228" s="3">
        <f>Loads!$K$228+Loads!$O$228+Loads!$R$228+Loads!$X$228+Loads!$U$228</f>
        <v/>
      </c>
    </row>
    <row r="229">
      <c r="A229" s="3">
        <f>Inputs!$A$148</f>
        <v/>
      </c>
      <c r="B229" s="3">
        <f>Geometry!$B$68</f>
        <v/>
      </c>
      <c r="C229" s="3">
        <f>IF(Loads!$A$229=1,Inputs!$C$148&amp;"","")</f>
        <v/>
      </c>
      <c r="D229" s="3">
        <f>Geometry!$K$68</f>
        <v/>
      </c>
      <c r="E229" s="3">
        <f>Geometry!$L$68</f>
        <v/>
      </c>
      <c r="F229" s="3">
        <f>IF(Loads!$A$229=1,SUMIFS(Loads!$V$153:$V$212,Inputs!$C$224:$C$283,Loads!$B$229)+SUMIFS(Loads!$V$153:$V$212,Inputs!$D$224:$D$283,Loads!$B$229),0)</f>
        <v/>
      </c>
      <c r="G229" s="3">
        <f>IF(Loads!$A$229=1,SUMIFS(Loads!$K$139:$K$146,Loads!$I$139:$I$146,Loads!$B$229),0)</f>
        <v/>
      </c>
      <c r="H229" s="3">
        <f>Loads!$F$229+Loads!$G$229</f>
        <v/>
      </c>
      <c r="I229" s="3">
        <f>Loads!$H$229*Loads!$B$15+(-Loads!$H$229*(Loads!$B$17+Loads!$B$19*(Loads!$E$229-Loads!$B$14)))</f>
        <v/>
      </c>
      <c r="J229" s="3">
        <f>Loads!$H$229*Loads!$B$16+(-Loads!$H$229*(Loads!$B$18-Loads!$B$19*(Loads!$D$229-Loads!$B$13)))</f>
        <v/>
      </c>
      <c r="K229" s="3">
        <f>Loads!$D$229*Loads!$J$229-Loads!$E$229*Loads!$I$229</f>
        <v/>
      </c>
      <c r="L229" s="3">
        <f>IF(Loads!$A$229=1,SUMIFS(Loads!$L$139:$L$146,Inputs!$D$304:$D$311,Loads!$B$229),0)</f>
        <v/>
      </c>
      <c r="M229" s="3">
        <f>Loads!$L$229*Loads!$B$15</f>
        <v/>
      </c>
      <c r="N229" s="3">
        <f>Loads!$L$229*Loads!$B$16</f>
        <v/>
      </c>
      <c r="O229" s="3">
        <f>Loads!$D$229*Loads!$N$229-Loads!$E$229*Loads!$M$229</f>
        <v/>
      </c>
      <c r="P229" s="3">
        <f>-Loads!$L$229*(Loads!$B$17+Loads!$B$19*(Loads!$E$229-Loads!$B$14))</f>
        <v/>
      </c>
      <c r="Q229" s="3">
        <f>-Loads!$L$229*(Loads!$B$18-Loads!$B$19*(Loads!$D$229-Loads!$B$13))</f>
        <v/>
      </c>
      <c r="R229" s="3">
        <f>Loads!$D$229*Loads!$Q$229-Loads!$E$229*Loads!$P$229</f>
        <v/>
      </c>
      <c r="S229" s="3">
        <f>IF(AND(Loads!$A$229=1,Loads!$B$26=11),-Loads!$B$24,0)</f>
        <v/>
      </c>
      <c r="T229" s="3">
        <f>IF(AND(Loads!$A$229=1,Loads!$B$27=11),Loads!$B$25,0)</f>
        <v/>
      </c>
      <c r="U229" s="3">
        <f>Loads!$D$229*Loads!$S$229-Loads!$E$229*Loads!$T$229</f>
        <v/>
      </c>
      <c r="V229" s="3">
        <f>IF(Loads!$A$229=1,SUMIFS(Loads!$P$153:$P$212,Inputs!$C$224:$C$283,Loads!$B$229)-SUMIFS(Loads!$P$153:$P$212,Inputs!$D$224:$D$283,Loads!$B$229),0)</f>
        <v/>
      </c>
      <c r="W229" s="3">
        <f>IF(Loads!$A$229=1,SUMIFS(Loads!$Q$153:$Q$212,Inputs!$C$224:$C$283,Loads!$B$229)-SUMIFS(Loads!$Q$153:$Q$212,Inputs!$D$224:$D$283,Loads!$B$229),0)</f>
        <v/>
      </c>
      <c r="X229" s="3">
        <f>Loads!$D$229*Loads!$W$229-Loads!$E$229*Loads!$V$229</f>
        <v/>
      </c>
      <c r="Y229" s="3">
        <f>IF(Loads!$A$229=1,SUMIFS(Loads!$R$153:$R$212,Inputs!$C$224:$C$283,Loads!$B$229)-SUMIFS(Loads!$R$153:$R$212,Inputs!$D$224:$D$283,Loads!$B$229),0)</f>
        <v/>
      </c>
      <c r="Z229" s="3">
        <f>IF(Loads!$A$229=1,SUMIFS(Loads!$S$153:$S$212,Inputs!$C$224:$C$283,Loads!$B$229)-SUMIFS(Loads!$S$153:$S$212,Inputs!$D$224:$D$283,Loads!$B$229),0)</f>
        <v/>
      </c>
      <c r="AA229" s="3">
        <f>Loads!$D$229*Loads!$Z$229-Loads!$E$229*Loads!$Y$229</f>
        <v/>
      </c>
      <c r="AB229" s="3">
        <f>Loads!$I$229+Loads!$M$229+Loads!$P$229+Loads!$V$229+Loads!$T$229</f>
        <v/>
      </c>
      <c r="AC229" s="3">
        <f>Loads!$J$229+Loads!$N$229+Loads!$Q$229+Loads!$W$229+Loads!$S$229</f>
        <v/>
      </c>
      <c r="AD229" s="3">
        <f>Loads!$K$229+Loads!$O$229+Loads!$R$229+Loads!$X$229+Loads!$U$229</f>
        <v/>
      </c>
    </row>
    <row r="230">
      <c r="A230" s="3">
        <f>Inputs!$A$149</f>
        <v/>
      </c>
      <c r="B230" s="3">
        <f>Geometry!$B$69</f>
        <v/>
      </c>
      <c r="C230" s="3">
        <f>IF(Loads!$A$230=1,Inputs!$C$149&amp;"","")</f>
        <v/>
      </c>
      <c r="D230" s="3">
        <f>Geometry!$K$69</f>
        <v/>
      </c>
      <c r="E230" s="3">
        <f>Geometry!$L$69</f>
        <v/>
      </c>
      <c r="F230" s="3">
        <f>IF(Loads!$A$230=1,SUMIFS(Loads!$V$153:$V$212,Inputs!$C$224:$C$283,Loads!$B$230)+SUMIFS(Loads!$V$153:$V$212,Inputs!$D$224:$D$283,Loads!$B$230),0)</f>
        <v/>
      </c>
      <c r="G230" s="3">
        <f>IF(Loads!$A$230=1,SUMIFS(Loads!$K$139:$K$146,Loads!$I$139:$I$146,Loads!$B$230),0)</f>
        <v/>
      </c>
      <c r="H230" s="3">
        <f>Loads!$F$230+Loads!$G$230</f>
        <v/>
      </c>
      <c r="I230" s="3">
        <f>Loads!$H$230*Loads!$B$15+(-Loads!$H$230*(Loads!$B$17+Loads!$B$19*(Loads!$E$230-Loads!$B$14)))</f>
        <v/>
      </c>
      <c r="J230" s="3">
        <f>Loads!$H$230*Loads!$B$16+(-Loads!$H$230*(Loads!$B$18-Loads!$B$19*(Loads!$D$230-Loads!$B$13)))</f>
        <v/>
      </c>
      <c r="K230" s="3">
        <f>Loads!$D$230*Loads!$J$230-Loads!$E$230*Loads!$I$230</f>
        <v/>
      </c>
      <c r="L230" s="3">
        <f>IF(Loads!$A$230=1,SUMIFS(Loads!$L$139:$L$146,Inputs!$D$304:$D$311,Loads!$B$230),0)</f>
        <v/>
      </c>
      <c r="M230" s="3">
        <f>Loads!$L$230*Loads!$B$15</f>
        <v/>
      </c>
      <c r="N230" s="3">
        <f>Loads!$L$230*Loads!$B$16</f>
        <v/>
      </c>
      <c r="O230" s="3">
        <f>Loads!$D$230*Loads!$N$230-Loads!$E$230*Loads!$M$230</f>
        <v/>
      </c>
      <c r="P230" s="3">
        <f>-Loads!$L$230*(Loads!$B$17+Loads!$B$19*(Loads!$E$230-Loads!$B$14))</f>
        <v/>
      </c>
      <c r="Q230" s="3">
        <f>-Loads!$L$230*(Loads!$B$18-Loads!$B$19*(Loads!$D$230-Loads!$B$13))</f>
        <v/>
      </c>
      <c r="R230" s="3">
        <f>Loads!$D$230*Loads!$Q$230-Loads!$E$230*Loads!$P$230</f>
        <v/>
      </c>
      <c r="S230" s="3">
        <f>IF(AND(Loads!$A$230=1,Loads!$B$26=12),-Loads!$B$24,0)</f>
        <v/>
      </c>
      <c r="T230" s="3">
        <f>IF(AND(Loads!$A$230=1,Loads!$B$27=12),Loads!$B$25,0)</f>
        <v/>
      </c>
      <c r="U230" s="3">
        <f>Loads!$D$230*Loads!$S$230-Loads!$E$230*Loads!$T$230</f>
        <v/>
      </c>
      <c r="V230" s="3">
        <f>IF(Loads!$A$230=1,SUMIFS(Loads!$P$153:$P$212,Inputs!$C$224:$C$283,Loads!$B$230)-SUMIFS(Loads!$P$153:$P$212,Inputs!$D$224:$D$283,Loads!$B$230),0)</f>
        <v/>
      </c>
      <c r="W230" s="3">
        <f>IF(Loads!$A$230=1,SUMIFS(Loads!$Q$153:$Q$212,Inputs!$C$224:$C$283,Loads!$B$230)-SUMIFS(Loads!$Q$153:$Q$212,Inputs!$D$224:$D$283,Loads!$B$230),0)</f>
        <v/>
      </c>
      <c r="X230" s="3">
        <f>Loads!$D$230*Loads!$W$230-Loads!$E$230*Loads!$V$230</f>
        <v/>
      </c>
      <c r="Y230" s="3">
        <f>IF(Loads!$A$230=1,SUMIFS(Loads!$R$153:$R$212,Inputs!$C$224:$C$283,Loads!$B$230)-SUMIFS(Loads!$R$153:$R$212,Inputs!$D$224:$D$283,Loads!$B$230),0)</f>
        <v/>
      </c>
      <c r="Z230" s="3">
        <f>IF(Loads!$A$230=1,SUMIFS(Loads!$S$153:$S$212,Inputs!$C$224:$C$283,Loads!$B$230)-SUMIFS(Loads!$S$153:$S$212,Inputs!$D$224:$D$283,Loads!$B$230),0)</f>
        <v/>
      </c>
      <c r="AA230" s="3">
        <f>Loads!$D$230*Loads!$Z$230-Loads!$E$230*Loads!$Y$230</f>
        <v/>
      </c>
      <c r="AB230" s="3">
        <f>Loads!$I$230+Loads!$M$230+Loads!$P$230+Loads!$V$230+Loads!$T$230</f>
        <v/>
      </c>
      <c r="AC230" s="3">
        <f>Loads!$J$230+Loads!$N$230+Loads!$Q$230+Loads!$W$230+Loads!$S$230</f>
        <v/>
      </c>
      <c r="AD230" s="3">
        <f>Loads!$K$230+Loads!$O$230+Loads!$R$230+Loads!$X$230+Loads!$U$230</f>
        <v/>
      </c>
    </row>
    <row r="231">
      <c r="A231" s="3">
        <f>Inputs!$A$150</f>
        <v/>
      </c>
      <c r="B231" s="3">
        <f>Geometry!$B$70</f>
        <v/>
      </c>
      <c r="C231" s="3">
        <f>IF(Loads!$A$231=1,Inputs!$C$150&amp;"","")</f>
        <v/>
      </c>
      <c r="D231" s="3">
        <f>Geometry!$K$70</f>
        <v/>
      </c>
      <c r="E231" s="3">
        <f>Geometry!$L$70</f>
        <v/>
      </c>
      <c r="F231" s="3">
        <f>IF(Loads!$A$231=1,SUMIFS(Loads!$V$153:$V$212,Inputs!$C$224:$C$283,Loads!$B$231)+SUMIFS(Loads!$V$153:$V$212,Inputs!$D$224:$D$283,Loads!$B$231),0)</f>
        <v/>
      </c>
      <c r="G231" s="3">
        <f>IF(Loads!$A$231=1,SUMIFS(Loads!$K$139:$K$146,Loads!$I$139:$I$146,Loads!$B$231),0)</f>
        <v/>
      </c>
      <c r="H231" s="3">
        <f>Loads!$F$231+Loads!$G$231</f>
        <v/>
      </c>
      <c r="I231" s="3">
        <f>Loads!$H$231*Loads!$B$15+(-Loads!$H$231*(Loads!$B$17+Loads!$B$19*(Loads!$E$231-Loads!$B$14)))</f>
        <v/>
      </c>
      <c r="J231" s="3">
        <f>Loads!$H$231*Loads!$B$16+(-Loads!$H$231*(Loads!$B$18-Loads!$B$19*(Loads!$D$231-Loads!$B$13)))</f>
        <v/>
      </c>
      <c r="K231" s="3">
        <f>Loads!$D$231*Loads!$J$231-Loads!$E$231*Loads!$I$231</f>
        <v/>
      </c>
      <c r="L231" s="3">
        <f>IF(Loads!$A$231=1,SUMIFS(Loads!$L$139:$L$146,Inputs!$D$304:$D$311,Loads!$B$231),0)</f>
        <v/>
      </c>
      <c r="M231" s="3">
        <f>Loads!$L$231*Loads!$B$15</f>
        <v/>
      </c>
      <c r="N231" s="3">
        <f>Loads!$L$231*Loads!$B$16</f>
        <v/>
      </c>
      <c r="O231" s="3">
        <f>Loads!$D$231*Loads!$N$231-Loads!$E$231*Loads!$M$231</f>
        <v/>
      </c>
      <c r="P231" s="3">
        <f>-Loads!$L$231*(Loads!$B$17+Loads!$B$19*(Loads!$E$231-Loads!$B$14))</f>
        <v/>
      </c>
      <c r="Q231" s="3">
        <f>-Loads!$L$231*(Loads!$B$18-Loads!$B$19*(Loads!$D$231-Loads!$B$13))</f>
        <v/>
      </c>
      <c r="R231" s="3">
        <f>Loads!$D$231*Loads!$Q$231-Loads!$E$231*Loads!$P$231</f>
        <v/>
      </c>
      <c r="S231" s="3">
        <f>IF(AND(Loads!$A$231=1,Loads!$B$26=13),-Loads!$B$24,0)</f>
        <v/>
      </c>
      <c r="T231" s="3">
        <f>IF(AND(Loads!$A$231=1,Loads!$B$27=13),Loads!$B$25,0)</f>
        <v/>
      </c>
      <c r="U231" s="3">
        <f>Loads!$D$231*Loads!$S$231-Loads!$E$231*Loads!$T$231</f>
        <v/>
      </c>
      <c r="V231" s="3">
        <f>IF(Loads!$A$231=1,SUMIFS(Loads!$P$153:$P$212,Inputs!$C$224:$C$283,Loads!$B$231)-SUMIFS(Loads!$P$153:$P$212,Inputs!$D$224:$D$283,Loads!$B$231),0)</f>
        <v/>
      </c>
      <c r="W231" s="3">
        <f>IF(Loads!$A$231=1,SUMIFS(Loads!$Q$153:$Q$212,Inputs!$C$224:$C$283,Loads!$B$231)-SUMIFS(Loads!$Q$153:$Q$212,Inputs!$D$224:$D$283,Loads!$B$231),0)</f>
        <v/>
      </c>
      <c r="X231" s="3">
        <f>Loads!$D$231*Loads!$W$231-Loads!$E$231*Loads!$V$231</f>
        <v/>
      </c>
      <c r="Y231" s="3">
        <f>IF(Loads!$A$231=1,SUMIFS(Loads!$R$153:$R$212,Inputs!$C$224:$C$283,Loads!$B$231)-SUMIFS(Loads!$R$153:$R$212,Inputs!$D$224:$D$283,Loads!$B$231),0)</f>
        <v/>
      </c>
      <c r="Z231" s="3">
        <f>IF(Loads!$A$231=1,SUMIFS(Loads!$S$153:$S$212,Inputs!$C$224:$C$283,Loads!$B$231)-SUMIFS(Loads!$S$153:$S$212,Inputs!$D$224:$D$283,Loads!$B$231),0)</f>
        <v/>
      </c>
      <c r="AA231" s="3">
        <f>Loads!$D$231*Loads!$Z$231-Loads!$E$231*Loads!$Y$231</f>
        <v/>
      </c>
      <c r="AB231" s="3">
        <f>Loads!$I$231+Loads!$M$231+Loads!$P$231+Loads!$V$231+Loads!$T$231</f>
        <v/>
      </c>
      <c r="AC231" s="3">
        <f>Loads!$J$231+Loads!$N$231+Loads!$Q$231+Loads!$W$231+Loads!$S$231</f>
        <v/>
      </c>
      <c r="AD231" s="3">
        <f>Loads!$K$231+Loads!$O$231+Loads!$R$231+Loads!$X$231+Loads!$U$231</f>
        <v/>
      </c>
    </row>
    <row r="232">
      <c r="A232" s="3">
        <f>Inputs!$A$151</f>
        <v/>
      </c>
      <c r="B232" s="3">
        <f>Geometry!$B$71</f>
        <v/>
      </c>
      <c r="C232" s="3">
        <f>IF(Loads!$A$232=1,Inputs!$C$151&amp;"","")</f>
        <v/>
      </c>
      <c r="D232" s="3">
        <f>Geometry!$K$71</f>
        <v/>
      </c>
      <c r="E232" s="3">
        <f>Geometry!$L$71</f>
        <v/>
      </c>
      <c r="F232" s="3">
        <f>IF(Loads!$A$232=1,SUMIFS(Loads!$V$153:$V$212,Inputs!$C$224:$C$283,Loads!$B$232)+SUMIFS(Loads!$V$153:$V$212,Inputs!$D$224:$D$283,Loads!$B$232),0)</f>
        <v/>
      </c>
      <c r="G232" s="3">
        <f>IF(Loads!$A$232=1,SUMIFS(Loads!$K$139:$K$146,Loads!$I$139:$I$146,Loads!$B$232),0)</f>
        <v/>
      </c>
      <c r="H232" s="3">
        <f>Loads!$F$232+Loads!$G$232</f>
        <v/>
      </c>
      <c r="I232" s="3">
        <f>Loads!$H$232*Loads!$B$15+(-Loads!$H$232*(Loads!$B$17+Loads!$B$19*(Loads!$E$232-Loads!$B$14)))</f>
        <v/>
      </c>
      <c r="J232" s="3">
        <f>Loads!$H$232*Loads!$B$16+(-Loads!$H$232*(Loads!$B$18-Loads!$B$19*(Loads!$D$232-Loads!$B$13)))</f>
        <v/>
      </c>
      <c r="K232" s="3">
        <f>Loads!$D$232*Loads!$J$232-Loads!$E$232*Loads!$I$232</f>
        <v/>
      </c>
      <c r="L232" s="3">
        <f>IF(Loads!$A$232=1,SUMIFS(Loads!$L$139:$L$146,Inputs!$D$304:$D$311,Loads!$B$232),0)</f>
        <v/>
      </c>
      <c r="M232" s="3">
        <f>Loads!$L$232*Loads!$B$15</f>
        <v/>
      </c>
      <c r="N232" s="3">
        <f>Loads!$L$232*Loads!$B$16</f>
        <v/>
      </c>
      <c r="O232" s="3">
        <f>Loads!$D$232*Loads!$N$232-Loads!$E$232*Loads!$M$232</f>
        <v/>
      </c>
      <c r="P232" s="3">
        <f>-Loads!$L$232*(Loads!$B$17+Loads!$B$19*(Loads!$E$232-Loads!$B$14))</f>
        <v/>
      </c>
      <c r="Q232" s="3">
        <f>-Loads!$L$232*(Loads!$B$18-Loads!$B$19*(Loads!$D$232-Loads!$B$13))</f>
        <v/>
      </c>
      <c r="R232" s="3">
        <f>Loads!$D$232*Loads!$Q$232-Loads!$E$232*Loads!$P$232</f>
        <v/>
      </c>
      <c r="S232" s="3">
        <f>IF(AND(Loads!$A$232=1,Loads!$B$26=14),-Loads!$B$24,0)</f>
        <v/>
      </c>
      <c r="T232" s="3">
        <f>IF(AND(Loads!$A$232=1,Loads!$B$27=14),Loads!$B$25,0)</f>
        <v/>
      </c>
      <c r="U232" s="3">
        <f>Loads!$D$232*Loads!$S$232-Loads!$E$232*Loads!$T$232</f>
        <v/>
      </c>
      <c r="V232" s="3">
        <f>IF(Loads!$A$232=1,SUMIFS(Loads!$P$153:$P$212,Inputs!$C$224:$C$283,Loads!$B$232)-SUMIFS(Loads!$P$153:$P$212,Inputs!$D$224:$D$283,Loads!$B$232),0)</f>
        <v/>
      </c>
      <c r="W232" s="3">
        <f>IF(Loads!$A$232=1,SUMIFS(Loads!$Q$153:$Q$212,Inputs!$C$224:$C$283,Loads!$B$232)-SUMIFS(Loads!$Q$153:$Q$212,Inputs!$D$224:$D$283,Loads!$B$232),0)</f>
        <v/>
      </c>
      <c r="X232" s="3">
        <f>Loads!$D$232*Loads!$W$232-Loads!$E$232*Loads!$V$232</f>
        <v/>
      </c>
      <c r="Y232" s="3">
        <f>IF(Loads!$A$232=1,SUMIFS(Loads!$R$153:$R$212,Inputs!$C$224:$C$283,Loads!$B$232)-SUMIFS(Loads!$R$153:$R$212,Inputs!$D$224:$D$283,Loads!$B$232),0)</f>
        <v/>
      </c>
      <c r="Z232" s="3">
        <f>IF(Loads!$A$232=1,SUMIFS(Loads!$S$153:$S$212,Inputs!$C$224:$C$283,Loads!$B$232)-SUMIFS(Loads!$S$153:$S$212,Inputs!$D$224:$D$283,Loads!$B$232),0)</f>
        <v/>
      </c>
      <c r="AA232" s="3">
        <f>Loads!$D$232*Loads!$Z$232-Loads!$E$232*Loads!$Y$232</f>
        <v/>
      </c>
      <c r="AB232" s="3">
        <f>Loads!$I$232+Loads!$M$232+Loads!$P$232+Loads!$V$232+Loads!$T$232</f>
        <v/>
      </c>
      <c r="AC232" s="3">
        <f>Loads!$J$232+Loads!$N$232+Loads!$Q$232+Loads!$W$232+Loads!$S$232</f>
        <v/>
      </c>
      <c r="AD232" s="3">
        <f>Loads!$K$232+Loads!$O$232+Loads!$R$232+Loads!$X$232+Loads!$U$232</f>
        <v/>
      </c>
    </row>
    <row r="233">
      <c r="A233" s="3">
        <f>Inputs!$A$152</f>
        <v/>
      </c>
      <c r="B233" s="3">
        <f>Geometry!$B$72</f>
        <v/>
      </c>
      <c r="C233" s="3">
        <f>IF(Loads!$A$233=1,Inputs!$C$152&amp;"","")</f>
        <v/>
      </c>
      <c r="D233" s="3">
        <f>Geometry!$K$72</f>
        <v/>
      </c>
      <c r="E233" s="3">
        <f>Geometry!$L$72</f>
        <v/>
      </c>
      <c r="F233" s="3">
        <f>IF(Loads!$A$233=1,SUMIFS(Loads!$V$153:$V$212,Inputs!$C$224:$C$283,Loads!$B$233)+SUMIFS(Loads!$V$153:$V$212,Inputs!$D$224:$D$283,Loads!$B$233),0)</f>
        <v/>
      </c>
      <c r="G233" s="3">
        <f>IF(Loads!$A$233=1,SUMIFS(Loads!$K$139:$K$146,Loads!$I$139:$I$146,Loads!$B$233),0)</f>
        <v/>
      </c>
      <c r="H233" s="3">
        <f>Loads!$F$233+Loads!$G$233</f>
        <v/>
      </c>
      <c r="I233" s="3">
        <f>Loads!$H$233*Loads!$B$15+(-Loads!$H$233*(Loads!$B$17+Loads!$B$19*(Loads!$E$233-Loads!$B$14)))</f>
        <v/>
      </c>
      <c r="J233" s="3">
        <f>Loads!$H$233*Loads!$B$16+(-Loads!$H$233*(Loads!$B$18-Loads!$B$19*(Loads!$D$233-Loads!$B$13)))</f>
        <v/>
      </c>
      <c r="K233" s="3">
        <f>Loads!$D$233*Loads!$J$233-Loads!$E$233*Loads!$I$233</f>
        <v/>
      </c>
      <c r="L233" s="3">
        <f>IF(Loads!$A$233=1,SUMIFS(Loads!$L$139:$L$146,Inputs!$D$304:$D$311,Loads!$B$233),0)</f>
        <v/>
      </c>
      <c r="M233" s="3">
        <f>Loads!$L$233*Loads!$B$15</f>
        <v/>
      </c>
      <c r="N233" s="3">
        <f>Loads!$L$233*Loads!$B$16</f>
        <v/>
      </c>
      <c r="O233" s="3">
        <f>Loads!$D$233*Loads!$N$233-Loads!$E$233*Loads!$M$233</f>
        <v/>
      </c>
      <c r="P233" s="3">
        <f>-Loads!$L$233*(Loads!$B$17+Loads!$B$19*(Loads!$E$233-Loads!$B$14))</f>
        <v/>
      </c>
      <c r="Q233" s="3">
        <f>-Loads!$L$233*(Loads!$B$18-Loads!$B$19*(Loads!$D$233-Loads!$B$13))</f>
        <v/>
      </c>
      <c r="R233" s="3">
        <f>Loads!$D$233*Loads!$Q$233-Loads!$E$233*Loads!$P$233</f>
        <v/>
      </c>
      <c r="S233" s="3">
        <f>IF(AND(Loads!$A$233=1,Loads!$B$26=15),-Loads!$B$24,0)</f>
        <v/>
      </c>
      <c r="T233" s="3">
        <f>IF(AND(Loads!$A$233=1,Loads!$B$27=15),Loads!$B$25,0)</f>
        <v/>
      </c>
      <c r="U233" s="3">
        <f>Loads!$D$233*Loads!$S$233-Loads!$E$233*Loads!$T$233</f>
        <v/>
      </c>
      <c r="V233" s="3">
        <f>IF(Loads!$A$233=1,SUMIFS(Loads!$P$153:$P$212,Inputs!$C$224:$C$283,Loads!$B$233)-SUMIFS(Loads!$P$153:$P$212,Inputs!$D$224:$D$283,Loads!$B$233),0)</f>
        <v/>
      </c>
      <c r="W233" s="3">
        <f>IF(Loads!$A$233=1,SUMIFS(Loads!$Q$153:$Q$212,Inputs!$C$224:$C$283,Loads!$B$233)-SUMIFS(Loads!$Q$153:$Q$212,Inputs!$D$224:$D$283,Loads!$B$233),0)</f>
        <v/>
      </c>
      <c r="X233" s="3">
        <f>Loads!$D$233*Loads!$W$233-Loads!$E$233*Loads!$V$233</f>
        <v/>
      </c>
      <c r="Y233" s="3">
        <f>IF(Loads!$A$233=1,SUMIFS(Loads!$R$153:$R$212,Inputs!$C$224:$C$283,Loads!$B$233)-SUMIFS(Loads!$R$153:$R$212,Inputs!$D$224:$D$283,Loads!$B$233),0)</f>
        <v/>
      </c>
      <c r="Z233" s="3">
        <f>IF(Loads!$A$233=1,SUMIFS(Loads!$S$153:$S$212,Inputs!$C$224:$C$283,Loads!$B$233)-SUMIFS(Loads!$S$153:$S$212,Inputs!$D$224:$D$283,Loads!$B$233),0)</f>
        <v/>
      </c>
      <c r="AA233" s="3">
        <f>Loads!$D$233*Loads!$Z$233-Loads!$E$233*Loads!$Y$233</f>
        <v/>
      </c>
      <c r="AB233" s="3">
        <f>Loads!$I$233+Loads!$M$233+Loads!$P$233+Loads!$V$233+Loads!$T$233</f>
        <v/>
      </c>
      <c r="AC233" s="3">
        <f>Loads!$J$233+Loads!$N$233+Loads!$Q$233+Loads!$W$233+Loads!$S$233</f>
        <v/>
      </c>
      <c r="AD233" s="3">
        <f>Loads!$K$233+Loads!$O$233+Loads!$R$233+Loads!$X$233+Loads!$U$233</f>
        <v/>
      </c>
    </row>
    <row r="234">
      <c r="A234" s="3">
        <f>Inputs!$A$153</f>
        <v/>
      </c>
      <c r="B234" s="3">
        <f>Geometry!$B$73</f>
        <v/>
      </c>
      <c r="C234" s="3">
        <f>IF(Loads!$A$234=1,Inputs!$C$153&amp;"","")</f>
        <v/>
      </c>
      <c r="D234" s="3">
        <f>Geometry!$K$73</f>
        <v/>
      </c>
      <c r="E234" s="3">
        <f>Geometry!$L$73</f>
        <v/>
      </c>
      <c r="F234" s="3">
        <f>IF(Loads!$A$234=1,SUMIFS(Loads!$V$153:$V$212,Inputs!$C$224:$C$283,Loads!$B$234)+SUMIFS(Loads!$V$153:$V$212,Inputs!$D$224:$D$283,Loads!$B$234),0)</f>
        <v/>
      </c>
      <c r="G234" s="3">
        <f>IF(Loads!$A$234=1,SUMIFS(Loads!$K$139:$K$146,Loads!$I$139:$I$146,Loads!$B$234),0)</f>
        <v/>
      </c>
      <c r="H234" s="3">
        <f>Loads!$F$234+Loads!$G$234</f>
        <v/>
      </c>
      <c r="I234" s="3">
        <f>Loads!$H$234*Loads!$B$15+(-Loads!$H$234*(Loads!$B$17+Loads!$B$19*(Loads!$E$234-Loads!$B$14)))</f>
        <v/>
      </c>
      <c r="J234" s="3">
        <f>Loads!$H$234*Loads!$B$16+(-Loads!$H$234*(Loads!$B$18-Loads!$B$19*(Loads!$D$234-Loads!$B$13)))</f>
        <v/>
      </c>
      <c r="K234" s="3">
        <f>Loads!$D$234*Loads!$J$234-Loads!$E$234*Loads!$I$234</f>
        <v/>
      </c>
      <c r="L234" s="3">
        <f>IF(Loads!$A$234=1,SUMIFS(Loads!$L$139:$L$146,Inputs!$D$304:$D$311,Loads!$B$234),0)</f>
        <v/>
      </c>
      <c r="M234" s="3">
        <f>Loads!$L$234*Loads!$B$15</f>
        <v/>
      </c>
      <c r="N234" s="3">
        <f>Loads!$L$234*Loads!$B$16</f>
        <v/>
      </c>
      <c r="O234" s="3">
        <f>Loads!$D$234*Loads!$N$234-Loads!$E$234*Loads!$M$234</f>
        <v/>
      </c>
      <c r="P234" s="3">
        <f>-Loads!$L$234*(Loads!$B$17+Loads!$B$19*(Loads!$E$234-Loads!$B$14))</f>
        <v/>
      </c>
      <c r="Q234" s="3">
        <f>-Loads!$L$234*(Loads!$B$18-Loads!$B$19*(Loads!$D$234-Loads!$B$13))</f>
        <v/>
      </c>
      <c r="R234" s="3">
        <f>Loads!$D$234*Loads!$Q$234-Loads!$E$234*Loads!$P$234</f>
        <v/>
      </c>
      <c r="S234" s="3">
        <f>IF(AND(Loads!$A$234=1,Loads!$B$26=16),-Loads!$B$24,0)</f>
        <v/>
      </c>
      <c r="T234" s="3">
        <f>IF(AND(Loads!$A$234=1,Loads!$B$27=16),Loads!$B$25,0)</f>
        <v/>
      </c>
      <c r="U234" s="3">
        <f>Loads!$D$234*Loads!$S$234-Loads!$E$234*Loads!$T$234</f>
        <v/>
      </c>
      <c r="V234" s="3">
        <f>IF(Loads!$A$234=1,SUMIFS(Loads!$P$153:$P$212,Inputs!$C$224:$C$283,Loads!$B$234)-SUMIFS(Loads!$P$153:$P$212,Inputs!$D$224:$D$283,Loads!$B$234),0)</f>
        <v/>
      </c>
      <c r="W234" s="3">
        <f>IF(Loads!$A$234=1,SUMIFS(Loads!$Q$153:$Q$212,Inputs!$C$224:$C$283,Loads!$B$234)-SUMIFS(Loads!$Q$153:$Q$212,Inputs!$D$224:$D$283,Loads!$B$234),0)</f>
        <v/>
      </c>
      <c r="X234" s="3">
        <f>Loads!$D$234*Loads!$W$234-Loads!$E$234*Loads!$V$234</f>
        <v/>
      </c>
      <c r="Y234" s="3">
        <f>IF(Loads!$A$234=1,SUMIFS(Loads!$R$153:$R$212,Inputs!$C$224:$C$283,Loads!$B$234)-SUMIFS(Loads!$R$153:$R$212,Inputs!$D$224:$D$283,Loads!$B$234),0)</f>
        <v/>
      </c>
      <c r="Z234" s="3">
        <f>IF(Loads!$A$234=1,SUMIFS(Loads!$S$153:$S$212,Inputs!$C$224:$C$283,Loads!$B$234)-SUMIFS(Loads!$S$153:$S$212,Inputs!$D$224:$D$283,Loads!$B$234),0)</f>
        <v/>
      </c>
      <c r="AA234" s="3">
        <f>Loads!$D$234*Loads!$Z$234-Loads!$E$234*Loads!$Y$234</f>
        <v/>
      </c>
      <c r="AB234" s="3">
        <f>Loads!$I$234+Loads!$M$234+Loads!$P$234+Loads!$V$234+Loads!$T$234</f>
        <v/>
      </c>
      <c r="AC234" s="3">
        <f>Loads!$J$234+Loads!$N$234+Loads!$Q$234+Loads!$W$234+Loads!$S$234</f>
        <v/>
      </c>
      <c r="AD234" s="3">
        <f>Loads!$K$234+Loads!$O$234+Loads!$R$234+Loads!$X$234+Loads!$U$234</f>
        <v/>
      </c>
    </row>
    <row r="235">
      <c r="A235" s="3">
        <f>Inputs!$A$154</f>
        <v/>
      </c>
      <c r="B235" s="3">
        <f>Geometry!$B$74</f>
        <v/>
      </c>
      <c r="C235" s="3">
        <f>IF(Loads!$A$235=1,Inputs!$C$154&amp;"","")</f>
        <v/>
      </c>
      <c r="D235" s="3">
        <f>Geometry!$K$74</f>
        <v/>
      </c>
      <c r="E235" s="3">
        <f>Geometry!$L$74</f>
        <v/>
      </c>
      <c r="F235" s="3">
        <f>IF(Loads!$A$235=1,SUMIFS(Loads!$V$153:$V$212,Inputs!$C$224:$C$283,Loads!$B$235)+SUMIFS(Loads!$V$153:$V$212,Inputs!$D$224:$D$283,Loads!$B$235),0)</f>
        <v/>
      </c>
      <c r="G235" s="3">
        <f>IF(Loads!$A$235=1,SUMIFS(Loads!$K$139:$K$146,Loads!$I$139:$I$146,Loads!$B$235),0)</f>
        <v/>
      </c>
      <c r="H235" s="3">
        <f>Loads!$F$235+Loads!$G$235</f>
        <v/>
      </c>
      <c r="I235" s="3">
        <f>Loads!$H$235*Loads!$B$15+(-Loads!$H$235*(Loads!$B$17+Loads!$B$19*(Loads!$E$235-Loads!$B$14)))</f>
        <v/>
      </c>
      <c r="J235" s="3">
        <f>Loads!$H$235*Loads!$B$16+(-Loads!$H$235*(Loads!$B$18-Loads!$B$19*(Loads!$D$235-Loads!$B$13)))</f>
        <v/>
      </c>
      <c r="K235" s="3">
        <f>Loads!$D$235*Loads!$J$235-Loads!$E$235*Loads!$I$235</f>
        <v/>
      </c>
      <c r="L235" s="3">
        <f>IF(Loads!$A$235=1,SUMIFS(Loads!$L$139:$L$146,Inputs!$D$304:$D$311,Loads!$B$235),0)</f>
        <v/>
      </c>
      <c r="M235" s="3">
        <f>Loads!$L$235*Loads!$B$15</f>
        <v/>
      </c>
      <c r="N235" s="3">
        <f>Loads!$L$235*Loads!$B$16</f>
        <v/>
      </c>
      <c r="O235" s="3">
        <f>Loads!$D$235*Loads!$N$235-Loads!$E$235*Loads!$M$235</f>
        <v/>
      </c>
      <c r="P235" s="3">
        <f>-Loads!$L$235*(Loads!$B$17+Loads!$B$19*(Loads!$E$235-Loads!$B$14))</f>
        <v/>
      </c>
      <c r="Q235" s="3">
        <f>-Loads!$L$235*(Loads!$B$18-Loads!$B$19*(Loads!$D$235-Loads!$B$13))</f>
        <v/>
      </c>
      <c r="R235" s="3">
        <f>Loads!$D$235*Loads!$Q$235-Loads!$E$235*Loads!$P$235</f>
        <v/>
      </c>
      <c r="S235" s="3">
        <f>IF(AND(Loads!$A$235=1,Loads!$B$26=17),-Loads!$B$24,0)</f>
        <v/>
      </c>
      <c r="T235" s="3">
        <f>IF(AND(Loads!$A$235=1,Loads!$B$27=17),Loads!$B$25,0)</f>
        <v/>
      </c>
      <c r="U235" s="3">
        <f>Loads!$D$235*Loads!$S$235-Loads!$E$235*Loads!$T$235</f>
        <v/>
      </c>
      <c r="V235" s="3">
        <f>IF(Loads!$A$235=1,SUMIFS(Loads!$P$153:$P$212,Inputs!$C$224:$C$283,Loads!$B$235)-SUMIFS(Loads!$P$153:$P$212,Inputs!$D$224:$D$283,Loads!$B$235),0)</f>
        <v/>
      </c>
      <c r="W235" s="3">
        <f>IF(Loads!$A$235=1,SUMIFS(Loads!$Q$153:$Q$212,Inputs!$C$224:$C$283,Loads!$B$235)-SUMIFS(Loads!$Q$153:$Q$212,Inputs!$D$224:$D$283,Loads!$B$235),0)</f>
        <v/>
      </c>
      <c r="X235" s="3">
        <f>Loads!$D$235*Loads!$W$235-Loads!$E$235*Loads!$V$235</f>
        <v/>
      </c>
      <c r="Y235" s="3">
        <f>IF(Loads!$A$235=1,SUMIFS(Loads!$R$153:$R$212,Inputs!$C$224:$C$283,Loads!$B$235)-SUMIFS(Loads!$R$153:$R$212,Inputs!$D$224:$D$283,Loads!$B$235),0)</f>
        <v/>
      </c>
      <c r="Z235" s="3">
        <f>IF(Loads!$A$235=1,SUMIFS(Loads!$S$153:$S$212,Inputs!$C$224:$C$283,Loads!$B$235)-SUMIFS(Loads!$S$153:$S$212,Inputs!$D$224:$D$283,Loads!$B$235),0)</f>
        <v/>
      </c>
      <c r="AA235" s="3">
        <f>Loads!$D$235*Loads!$Z$235-Loads!$E$235*Loads!$Y$235</f>
        <v/>
      </c>
      <c r="AB235" s="3">
        <f>Loads!$I$235+Loads!$M$235+Loads!$P$235+Loads!$V$235+Loads!$T$235</f>
        <v/>
      </c>
      <c r="AC235" s="3">
        <f>Loads!$J$235+Loads!$N$235+Loads!$Q$235+Loads!$W$235+Loads!$S$235</f>
        <v/>
      </c>
      <c r="AD235" s="3">
        <f>Loads!$K$235+Loads!$O$235+Loads!$R$235+Loads!$X$235+Loads!$U$235</f>
        <v/>
      </c>
    </row>
    <row r="236">
      <c r="A236" s="3">
        <f>Inputs!$A$155</f>
        <v/>
      </c>
      <c r="B236" s="3">
        <f>Geometry!$B$75</f>
        <v/>
      </c>
      <c r="C236" s="3">
        <f>IF(Loads!$A$236=1,Inputs!$C$155&amp;"","")</f>
        <v/>
      </c>
      <c r="D236" s="3">
        <f>Geometry!$K$75</f>
        <v/>
      </c>
      <c r="E236" s="3">
        <f>Geometry!$L$75</f>
        <v/>
      </c>
      <c r="F236" s="3">
        <f>IF(Loads!$A$236=1,SUMIFS(Loads!$V$153:$V$212,Inputs!$C$224:$C$283,Loads!$B$236)+SUMIFS(Loads!$V$153:$V$212,Inputs!$D$224:$D$283,Loads!$B$236),0)</f>
        <v/>
      </c>
      <c r="G236" s="3">
        <f>IF(Loads!$A$236=1,SUMIFS(Loads!$K$139:$K$146,Loads!$I$139:$I$146,Loads!$B$236),0)</f>
        <v/>
      </c>
      <c r="H236" s="3">
        <f>Loads!$F$236+Loads!$G$236</f>
        <v/>
      </c>
      <c r="I236" s="3">
        <f>Loads!$H$236*Loads!$B$15+(-Loads!$H$236*(Loads!$B$17+Loads!$B$19*(Loads!$E$236-Loads!$B$14)))</f>
        <v/>
      </c>
      <c r="J236" s="3">
        <f>Loads!$H$236*Loads!$B$16+(-Loads!$H$236*(Loads!$B$18-Loads!$B$19*(Loads!$D$236-Loads!$B$13)))</f>
        <v/>
      </c>
      <c r="K236" s="3">
        <f>Loads!$D$236*Loads!$J$236-Loads!$E$236*Loads!$I$236</f>
        <v/>
      </c>
      <c r="L236" s="3">
        <f>IF(Loads!$A$236=1,SUMIFS(Loads!$L$139:$L$146,Inputs!$D$304:$D$311,Loads!$B$236),0)</f>
        <v/>
      </c>
      <c r="M236" s="3">
        <f>Loads!$L$236*Loads!$B$15</f>
        <v/>
      </c>
      <c r="N236" s="3">
        <f>Loads!$L$236*Loads!$B$16</f>
        <v/>
      </c>
      <c r="O236" s="3">
        <f>Loads!$D$236*Loads!$N$236-Loads!$E$236*Loads!$M$236</f>
        <v/>
      </c>
      <c r="P236" s="3">
        <f>-Loads!$L$236*(Loads!$B$17+Loads!$B$19*(Loads!$E$236-Loads!$B$14))</f>
        <v/>
      </c>
      <c r="Q236" s="3">
        <f>-Loads!$L$236*(Loads!$B$18-Loads!$B$19*(Loads!$D$236-Loads!$B$13))</f>
        <v/>
      </c>
      <c r="R236" s="3">
        <f>Loads!$D$236*Loads!$Q$236-Loads!$E$236*Loads!$P$236</f>
        <v/>
      </c>
      <c r="S236" s="3">
        <f>IF(AND(Loads!$A$236=1,Loads!$B$26=18),-Loads!$B$24,0)</f>
        <v/>
      </c>
      <c r="T236" s="3">
        <f>IF(AND(Loads!$A$236=1,Loads!$B$27=18),Loads!$B$25,0)</f>
        <v/>
      </c>
      <c r="U236" s="3">
        <f>Loads!$D$236*Loads!$S$236-Loads!$E$236*Loads!$T$236</f>
        <v/>
      </c>
      <c r="V236" s="3">
        <f>IF(Loads!$A$236=1,SUMIFS(Loads!$P$153:$P$212,Inputs!$C$224:$C$283,Loads!$B$236)-SUMIFS(Loads!$P$153:$P$212,Inputs!$D$224:$D$283,Loads!$B$236),0)</f>
        <v/>
      </c>
      <c r="W236" s="3">
        <f>IF(Loads!$A$236=1,SUMIFS(Loads!$Q$153:$Q$212,Inputs!$C$224:$C$283,Loads!$B$236)-SUMIFS(Loads!$Q$153:$Q$212,Inputs!$D$224:$D$283,Loads!$B$236),0)</f>
        <v/>
      </c>
      <c r="X236" s="3">
        <f>Loads!$D$236*Loads!$W$236-Loads!$E$236*Loads!$V$236</f>
        <v/>
      </c>
      <c r="Y236" s="3">
        <f>IF(Loads!$A$236=1,SUMIFS(Loads!$R$153:$R$212,Inputs!$C$224:$C$283,Loads!$B$236)-SUMIFS(Loads!$R$153:$R$212,Inputs!$D$224:$D$283,Loads!$B$236),0)</f>
        <v/>
      </c>
      <c r="Z236" s="3">
        <f>IF(Loads!$A$236=1,SUMIFS(Loads!$S$153:$S$212,Inputs!$C$224:$C$283,Loads!$B$236)-SUMIFS(Loads!$S$153:$S$212,Inputs!$D$224:$D$283,Loads!$B$236),0)</f>
        <v/>
      </c>
      <c r="AA236" s="3">
        <f>Loads!$D$236*Loads!$Z$236-Loads!$E$236*Loads!$Y$236</f>
        <v/>
      </c>
      <c r="AB236" s="3">
        <f>Loads!$I$236+Loads!$M$236+Loads!$P$236+Loads!$V$236+Loads!$T$236</f>
        <v/>
      </c>
      <c r="AC236" s="3">
        <f>Loads!$J$236+Loads!$N$236+Loads!$Q$236+Loads!$W$236+Loads!$S$236</f>
        <v/>
      </c>
      <c r="AD236" s="3">
        <f>Loads!$K$236+Loads!$O$236+Loads!$R$236+Loads!$X$236+Loads!$U$236</f>
        <v/>
      </c>
    </row>
    <row r="237">
      <c r="A237" s="3">
        <f>Inputs!$A$156</f>
        <v/>
      </c>
      <c r="B237" s="3">
        <f>Geometry!$B$76</f>
        <v/>
      </c>
      <c r="C237" s="3">
        <f>IF(Loads!$A$237=1,Inputs!$C$156&amp;"","")</f>
        <v/>
      </c>
      <c r="D237" s="3">
        <f>Geometry!$K$76</f>
        <v/>
      </c>
      <c r="E237" s="3">
        <f>Geometry!$L$76</f>
        <v/>
      </c>
      <c r="F237" s="3">
        <f>IF(Loads!$A$237=1,SUMIFS(Loads!$V$153:$V$212,Inputs!$C$224:$C$283,Loads!$B$237)+SUMIFS(Loads!$V$153:$V$212,Inputs!$D$224:$D$283,Loads!$B$237),0)</f>
        <v/>
      </c>
      <c r="G237" s="3">
        <f>IF(Loads!$A$237=1,SUMIFS(Loads!$K$139:$K$146,Loads!$I$139:$I$146,Loads!$B$237),0)</f>
        <v/>
      </c>
      <c r="H237" s="3">
        <f>Loads!$F$237+Loads!$G$237</f>
        <v/>
      </c>
      <c r="I237" s="3">
        <f>Loads!$H$237*Loads!$B$15+(-Loads!$H$237*(Loads!$B$17+Loads!$B$19*(Loads!$E$237-Loads!$B$14)))</f>
        <v/>
      </c>
      <c r="J237" s="3">
        <f>Loads!$H$237*Loads!$B$16+(-Loads!$H$237*(Loads!$B$18-Loads!$B$19*(Loads!$D$237-Loads!$B$13)))</f>
        <v/>
      </c>
      <c r="K237" s="3">
        <f>Loads!$D$237*Loads!$J$237-Loads!$E$237*Loads!$I$237</f>
        <v/>
      </c>
      <c r="L237" s="3">
        <f>IF(Loads!$A$237=1,SUMIFS(Loads!$L$139:$L$146,Inputs!$D$304:$D$311,Loads!$B$237),0)</f>
        <v/>
      </c>
      <c r="M237" s="3">
        <f>Loads!$L$237*Loads!$B$15</f>
        <v/>
      </c>
      <c r="N237" s="3">
        <f>Loads!$L$237*Loads!$B$16</f>
        <v/>
      </c>
      <c r="O237" s="3">
        <f>Loads!$D$237*Loads!$N$237-Loads!$E$237*Loads!$M$237</f>
        <v/>
      </c>
      <c r="P237" s="3">
        <f>-Loads!$L$237*(Loads!$B$17+Loads!$B$19*(Loads!$E$237-Loads!$B$14))</f>
        <v/>
      </c>
      <c r="Q237" s="3">
        <f>-Loads!$L$237*(Loads!$B$18-Loads!$B$19*(Loads!$D$237-Loads!$B$13))</f>
        <v/>
      </c>
      <c r="R237" s="3">
        <f>Loads!$D$237*Loads!$Q$237-Loads!$E$237*Loads!$P$237</f>
        <v/>
      </c>
      <c r="S237" s="3">
        <f>IF(AND(Loads!$A$237=1,Loads!$B$26=19),-Loads!$B$24,0)</f>
        <v/>
      </c>
      <c r="T237" s="3">
        <f>IF(AND(Loads!$A$237=1,Loads!$B$27=19),Loads!$B$25,0)</f>
        <v/>
      </c>
      <c r="U237" s="3">
        <f>Loads!$D$237*Loads!$S$237-Loads!$E$237*Loads!$T$237</f>
        <v/>
      </c>
      <c r="V237" s="3">
        <f>IF(Loads!$A$237=1,SUMIFS(Loads!$P$153:$P$212,Inputs!$C$224:$C$283,Loads!$B$237)-SUMIFS(Loads!$P$153:$P$212,Inputs!$D$224:$D$283,Loads!$B$237),0)</f>
        <v/>
      </c>
      <c r="W237" s="3">
        <f>IF(Loads!$A$237=1,SUMIFS(Loads!$Q$153:$Q$212,Inputs!$C$224:$C$283,Loads!$B$237)-SUMIFS(Loads!$Q$153:$Q$212,Inputs!$D$224:$D$283,Loads!$B$237),0)</f>
        <v/>
      </c>
      <c r="X237" s="3">
        <f>Loads!$D$237*Loads!$W$237-Loads!$E$237*Loads!$V$237</f>
        <v/>
      </c>
      <c r="Y237" s="3">
        <f>IF(Loads!$A$237=1,SUMIFS(Loads!$R$153:$R$212,Inputs!$C$224:$C$283,Loads!$B$237)-SUMIFS(Loads!$R$153:$R$212,Inputs!$D$224:$D$283,Loads!$B$237),0)</f>
        <v/>
      </c>
      <c r="Z237" s="3">
        <f>IF(Loads!$A$237=1,SUMIFS(Loads!$S$153:$S$212,Inputs!$C$224:$C$283,Loads!$B$237)-SUMIFS(Loads!$S$153:$S$212,Inputs!$D$224:$D$283,Loads!$B$237),0)</f>
        <v/>
      </c>
      <c r="AA237" s="3">
        <f>Loads!$D$237*Loads!$Z$237-Loads!$E$237*Loads!$Y$237</f>
        <v/>
      </c>
      <c r="AB237" s="3">
        <f>Loads!$I$237+Loads!$M$237+Loads!$P$237+Loads!$V$237+Loads!$T$237</f>
        <v/>
      </c>
      <c r="AC237" s="3">
        <f>Loads!$J$237+Loads!$N$237+Loads!$Q$237+Loads!$W$237+Loads!$S$237</f>
        <v/>
      </c>
      <c r="AD237" s="3">
        <f>Loads!$K$237+Loads!$O$237+Loads!$R$237+Loads!$X$237+Loads!$U$237</f>
        <v/>
      </c>
    </row>
    <row r="238">
      <c r="A238" s="3">
        <f>Inputs!$A$157</f>
        <v/>
      </c>
      <c r="B238" s="3">
        <f>Geometry!$B$77</f>
        <v/>
      </c>
      <c r="C238" s="3">
        <f>IF(Loads!$A$238=1,Inputs!$C$157&amp;"","")</f>
        <v/>
      </c>
      <c r="D238" s="3">
        <f>Geometry!$K$77</f>
        <v/>
      </c>
      <c r="E238" s="3">
        <f>Geometry!$L$77</f>
        <v/>
      </c>
      <c r="F238" s="3">
        <f>IF(Loads!$A$238=1,SUMIFS(Loads!$V$153:$V$212,Inputs!$C$224:$C$283,Loads!$B$238)+SUMIFS(Loads!$V$153:$V$212,Inputs!$D$224:$D$283,Loads!$B$238),0)</f>
        <v/>
      </c>
      <c r="G238" s="3">
        <f>IF(Loads!$A$238=1,SUMIFS(Loads!$K$139:$K$146,Loads!$I$139:$I$146,Loads!$B$238),0)</f>
        <v/>
      </c>
      <c r="H238" s="3">
        <f>Loads!$F$238+Loads!$G$238</f>
        <v/>
      </c>
      <c r="I238" s="3">
        <f>Loads!$H$238*Loads!$B$15+(-Loads!$H$238*(Loads!$B$17+Loads!$B$19*(Loads!$E$238-Loads!$B$14)))</f>
        <v/>
      </c>
      <c r="J238" s="3">
        <f>Loads!$H$238*Loads!$B$16+(-Loads!$H$238*(Loads!$B$18-Loads!$B$19*(Loads!$D$238-Loads!$B$13)))</f>
        <v/>
      </c>
      <c r="K238" s="3">
        <f>Loads!$D$238*Loads!$J$238-Loads!$E$238*Loads!$I$238</f>
        <v/>
      </c>
      <c r="L238" s="3">
        <f>IF(Loads!$A$238=1,SUMIFS(Loads!$L$139:$L$146,Inputs!$D$304:$D$311,Loads!$B$238),0)</f>
        <v/>
      </c>
      <c r="M238" s="3">
        <f>Loads!$L$238*Loads!$B$15</f>
        <v/>
      </c>
      <c r="N238" s="3">
        <f>Loads!$L$238*Loads!$B$16</f>
        <v/>
      </c>
      <c r="O238" s="3">
        <f>Loads!$D$238*Loads!$N$238-Loads!$E$238*Loads!$M$238</f>
        <v/>
      </c>
      <c r="P238" s="3">
        <f>-Loads!$L$238*(Loads!$B$17+Loads!$B$19*(Loads!$E$238-Loads!$B$14))</f>
        <v/>
      </c>
      <c r="Q238" s="3">
        <f>-Loads!$L$238*(Loads!$B$18-Loads!$B$19*(Loads!$D$238-Loads!$B$13))</f>
        <v/>
      </c>
      <c r="R238" s="3">
        <f>Loads!$D$238*Loads!$Q$238-Loads!$E$238*Loads!$P$238</f>
        <v/>
      </c>
      <c r="S238" s="3">
        <f>IF(AND(Loads!$A$238=1,Loads!$B$26=20),-Loads!$B$24,0)</f>
        <v/>
      </c>
      <c r="T238" s="3">
        <f>IF(AND(Loads!$A$238=1,Loads!$B$27=20),Loads!$B$25,0)</f>
        <v/>
      </c>
      <c r="U238" s="3">
        <f>Loads!$D$238*Loads!$S$238-Loads!$E$238*Loads!$T$238</f>
        <v/>
      </c>
      <c r="V238" s="3">
        <f>IF(Loads!$A$238=1,SUMIFS(Loads!$P$153:$P$212,Inputs!$C$224:$C$283,Loads!$B$238)-SUMIFS(Loads!$P$153:$P$212,Inputs!$D$224:$D$283,Loads!$B$238),0)</f>
        <v/>
      </c>
      <c r="W238" s="3">
        <f>IF(Loads!$A$238=1,SUMIFS(Loads!$Q$153:$Q$212,Inputs!$C$224:$C$283,Loads!$B$238)-SUMIFS(Loads!$Q$153:$Q$212,Inputs!$D$224:$D$283,Loads!$B$238),0)</f>
        <v/>
      </c>
      <c r="X238" s="3">
        <f>Loads!$D$238*Loads!$W$238-Loads!$E$238*Loads!$V$238</f>
        <v/>
      </c>
      <c r="Y238" s="3">
        <f>IF(Loads!$A$238=1,SUMIFS(Loads!$R$153:$R$212,Inputs!$C$224:$C$283,Loads!$B$238)-SUMIFS(Loads!$R$153:$R$212,Inputs!$D$224:$D$283,Loads!$B$238),0)</f>
        <v/>
      </c>
      <c r="Z238" s="3">
        <f>IF(Loads!$A$238=1,SUMIFS(Loads!$S$153:$S$212,Inputs!$C$224:$C$283,Loads!$B$238)-SUMIFS(Loads!$S$153:$S$212,Inputs!$D$224:$D$283,Loads!$B$238),0)</f>
        <v/>
      </c>
      <c r="AA238" s="3">
        <f>Loads!$D$238*Loads!$Z$238-Loads!$E$238*Loads!$Y$238</f>
        <v/>
      </c>
      <c r="AB238" s="3">
        <f>Loads!$I$238+Loads!$M$238+Loads!$P$238+Loads!$V$238+Loads!$T$238</f>
        <v/>
      </c>
      <c r="AC238" s="3">
        <f>Loads!$J$238+Loads!$N$238+Loads!$Q$238+Loads!$W$238+Loads!$S$238</f>
        <v/>
      </c>
      <c r="AD238" s="3">
        <f>Loads!$K$238+Loads!$O$238+Loads!$R$238+Loads!$X$238+Loads!$U$238</f>
        <v/>
      </c>
    </row>
    <row r="239">
      <c r="A239" s="3">
        <f>Inputs!$A$158</f>
        <v/>
      </c>
      <c r="B239" s="3">
        <f>Geometry!$B$78</f>
        <v/>
      </c>
      <c r="C239" s="3">
        <f>IF(Loads!$A$239=1,Inputs!$C$158&amp;"","")</f>
        <v/>
      </c>
      <c r="D239" s="3">
        <f>Geometry!$K$78</f>
        <v/>
      </c>
      <c r="E239" s="3">
        <f>Geometry!$L$78</f>
        <v/>
      </c>
      <c r="F239" s="3">
        <f>IF(Loads!$A$239=1,SUMIFS(Loads!$V$153:$V$212,Inputs!$C$224:$C$283,Loads!$B$239)+SUMIFS(Loads!$V$153:$V$212,Inputs!$D$224:$D$283,Loads!$B$239),0)</f>
        <v/>
      </c>
      <c r="G239" s="3">
        <f>IF(Loads!$A$239=1,SUMIFS(Loads!$K$139:$K$146,Loads!$I$139:$I$146,Loads!$B$239),0)</f>
        <v/>
      </c>
      <c r="H239" s="3">
        <f>Loads!$F$239+Loads!$G$239</f>
        <v/>
      </c>
      <c r="I239" s="3">
        <f>Loads!$H$239*Loads!$B$15+(-Loads!$H$239*(Loads!$B$17+Loads!$B$19*(Loads!$E$239-Loads!$B$14)))</f>
        <v/>
      </c>
      <c r="J239" s="3">
        <f>Loads!$H$239*Loads!$B$16+(-Loads!$H$239*(Loads!$B$18-Loads!$B$19*(Loads!$D$239-Loads!$B$13)))</f>
        <v/>
      </c>
      <c r="K239" s="3">
        <f>Loads!$D$239*Loads!$J$239-Loads!$E$239*Loads!$I$239</f>
        <v/>
      </c>
      <c r="L239" s="3">
        <f>IF(Loads!$A$239=1,SUMIFS(Loads!$L$139:$L$146,Inputs!$D$304:$D$311,Loads!$B$239),0)</f>
        <v/>
      </c>
      <c r="M239" s="3">
        <f>Loads!$L$239*Loads!$B$15</f>
        <v/>
      </c>
      <c r="N239" s="3">
        <f>Loads!$L$239*Loads!$B$16</f>
        <v/>
      </c>
      <c r="O239" s="3">
        <f>Loads!$D$239*Loads!$N$239-Loads!$E$239*Loads!$M$239</f>
        <v/>
      </c>
      <c r="P239" s="3">
        <f>-Loads!$L$239*(Loads!$B$17+Loads!$B$19*(Loads!$E$239-Loads!$B$14))</f>
        <v/>
      </c>
      <c r="Q239" s="3">
        <f>-Loads!$L$239*(Loads!$B$18-Loads!$B$19*(Loads!$D$239-Loads!$B$13))</f>
        <v/>
      </c>
      <c r="R239" s="3">
        <f>Loads!$D$239*Loads!$Q$239-Loads!$E$239*Loads!$P$239</f>
        <v/>
      </c>
      <c r="S239" s="3">
        <f>IF(AND(Loads!$A$239=1,Loads!$B$26=21),-Loads!$B$24,0)</f>
        <v/>
      </c>
      <c r="T239" s="3">
        <f>IF(AND(Loads!$A$239=1,Loads!$B$27=21),Loads!$B$25,0)</f>
        <v/>
      </c>
      <c r="U239" s="3">
        <f>Loads!$D$239*Loads!$S$239-Loads!$E$239*Loads!$T$239</f>
        <v/>
      </c>
      <c r="V239" s="3">
        <f>IF(Loads!$A$239=1,SUMIFS(Loads!$P$153:$P$212,Inputs!$C$224:$C$283,Loads!$B$239)-SUMIFS(Loads!$P$153:$P$212,Inputs!$D$224:$D$283,Loads!$B$239),0)</f>
        <v/>
      </c>
      <c r="W239" s="3">
        <f>IF(Loads!$A$239=1,SUMIFS(Loads!$Q$153:$Q$212,Inputs!$C$224:$C$283,Loads!$B$239)-SUMIFS(Loads!$Q$153:$Q$212,Inputs!$D$224:$D$283,Loads!$B$239),0)</f>
        <v/>
      </c>
      <c r="X239" s="3">
        <f>Loads!$D$239*Loads!$W$239-Loads!$E$239*Loads!$V$239</f>
        <v/>
      </c>
      <c r="Y239" s="3">
        <f>IF(Loads!$A$239=1,SUMIFS(Loads!$R$153:$R$212,Inputs!$C$224:$C$283,Loads!$B$239)-SUMIFS(Loads!$R$153:$R$212,Inputs!$D$224:$D$283,Loads!$B$239),0)</f>
        <v/>
      </c>
      <c r="Z239" s="3">
        <f>IF(Loads!$A$239=1,SUMIFS(Loads!$S$153:$S$212,Inputs!$C$224:$C$283,Loads!$B$239)-SUMIFS(Loads!$S$153:$S$212,Inputs!$D$224:$D$283,Loads!$B$239),0)</f>
        <v/>
      </c>
      <c r="AA239" s="3">
        <f>Loads!$D$239*Loads!$Z$239-Loads!$E$239*Loads!$Y$239</f>
        <v/>
      </c>
      <c r="AB239" s="3">
        <f>Loads!$I$239+Loads!$M$239+Loads!$P$239+Loads!$V$239+Loads!$T$239</f>
        <v/>
      </c>
      <c r="AC239" s="3">
        <f>Loads!$J$239+Loads!$N$239+Loads!$Q$239+Loads!$W$239+Loads!$S$239</f>
        <v/>
      </c>
      <c r="AD239" s="3">
        <f>Loads!$K$239+Loads!$O$239+Loads!$R$239+Loads!$X$239+Loads!$U$239</f>
        <v/>
      </c>
    </row>
    <row r="240">
      <c r="A240" s="3">
        <f>Inputs!$A$159</f>
        <v/>
      </c>
      <c r="B240" s="3">
        <f>Geometry!$B$79</f>
        <v/>
      </c>
      <c r="C240" s="3">
        <f>IF(Loads!$A$240=1,Inputs!$C$159&amp;"","")</f>
        <v/>
      </c>
      <c r="D240" s="3">
        <f>Geometry!$K$79</f>
        <v/>
      </c>
      <c r="E240" s="3">
        <f>Geometry!$L$79</f>
        <v/>
      </c>
      <c r="F240" s="3">
        <f>IF(Loads!$A$240=1,SUMIFS(Loads!$V$153:$V$212,Inputs!$C$224:$C$283,Loads!$B$240)+SUMIFS(Loads!$V$153:$V$212,Inputs!$D$224:$D$283,Loads!$B$240),0)</f>
        <v/>
      </c>
      <c r="G240" s="3">
        <f>IF(Loads!$A$240=1,SUMIFS(Loads!$K$139:$K$146,Loads!$I$139:$I$146,Loads!$B$240),0)</f>
        <v/>
      </c>
      <c r="H240" s="3">
        <f>Loads!$F$240+Loads!$G$240</f>
        <v/>
      </c>
      <c r="I240" s="3">
        <f>Loads!$H$240*Loads!$B$15+(-Loads!$H$240*(Loads!$B$17+Loads!$B$19*(Loads!$E$240-Loads!$B$14)))</f>
        <v/>
      </c>
      <c r="J240" s="3">
        <f>Loads!$H$240*Loads!$B$16+(-Loads!$H$240*(Loads!$B$18-Loads!$B$19*(Loads!$D$240-Loads!$B$13)))</f>
        <v/>
      </c>
      <c r="K240" s="3">
        <f>Loads!$D$240*Loads!$J$240-Loads!$E$240*Loads!$I$240</f>
        <v/>
      </c>
      <c r="L240" s="3">
        <f>IF(Loads!$A$240=1,SUMIFS(Loads!$L$139:$L$146,Inputs!$D$304:$D$311,Loads!$B$240),0)</f>
        <v/>
      </c>
      <c r="M240" s="3">
        <f>Loads!$L$240*Loads!$B$15</f>
        <v/>
      </c>
      <c r="N240" s="3">
        <f>Loads!$L$240*Loads!$B$16</f>
        <v/>
      </c>
      <c r="O240" s="3">
        <f>Loads!$D$240*Loads!$N$240-Loads!$E$240*Loads!$M$240</f>
        <v/>
      </c>
      <c r="P240" s="3">
        <f>-Loads!$L$240*(Loads!$B$17+Loads!$B$19*(Loads!$E$240-Loads!$B$14))</f>
        <v/>
      </c>
      <c r="Q240" s="3">
        <f>-Loads!$L$240*(Loads!$B$18-Loads!$B$19*(Loads!$D$240-Loads!$B$13))</f>
        <v/>
      </c>
      <c r="R240" s="3">
        <f>Loads!$D$240*Loads!$Q$240-Loads!$E$240*Loads!$P$240</f>
        <v/>
      </c>
      <c r="S240" s="3">
        <f>IF(AND(Loads!$A$240=1,Loads!$B$26=22),-Loads!$B$24,0)</f>
        <v/>
      </c>
      <c r="T240" s="3">
        <f>IF(AND(Loads!$A$240=1,Loads!$B$27=22),Loads!$B$25,0)</f>
        <v/>
      </c>
      <c r="U240" s="3">
        <f>Loads!$D$240*Loads!$S$240-Loads!$E$240*Loads!$T$240</f>
        <v/>
      </c>
      <c r="V240" s="3">
        <f>IF(Loads!$A$240=1,SUMIFS(Loads!$P$153:$P$212,Inputs!$C$224:$C$283,Loads!$B$240)-SUMIFS(Loads!$P$153:$P$212,Inputs!$D$224:$D$283,Loads!$B$240),0)</f>
        <v/>
      </c>
      <c r="W240" s="3">
        <f>IF(Loads!$A$240=1,SUMIFS(Loads!$Q$153:$Q$212,Inputs!$C$224:$C$283,Loads!$B$240)-SUMIFS(Loads!$Q$153:$Q$212,Inputs!$D$224:$D$283,Loads!$B$240),0)</f>
        <v/>
      </c>
      <c r="X240" s="3">
        <f>Loads!$D$240*Loads!$W$240-Loads!$E$240*Loads!$V$240</f>
        <v/>
      </c>
      <c r="Y240" s="3">
        <f>IF(Loads!$A$240=1,SUMIFS(Loads!$R$153:$R$212,Inputs!$C$224:$C$283,Loads!$B$240)-SUMIFS(Loads!$R$153:$R$212,Inputs!$D$224:$D$283,Loads!$B$240),0)</f>
        <v/>
      </c>
      <c r="Z240" s="3">
        <f>IF(Loads!$A$240=1,SUMIFS(Loads!$S$153:$S$212,Inputs!$C$224:$C$283,Loads!$B$240)-SUMIFS(Loads!$S$153:$S$212,Inputs!$D$224:$D$283,Loads!$B$240),0)</f>
        <v/>
      </c>
      <c r="AA240" s="3">
        <f>Loads!$D$240*Loads!$Z$240-Loads!$E$240*Loads!$Y$240</f>
        <v/>
      </c>
      <c r="AB240" s="3">
        <f>Loads!$I$240+Loads!$M$240+Loads!$P$240+Loads!$V$240+Loads!$T$240</f>
        <v/>
      </c>
      <c r="AC240" s="3">
        <f>Loads!$J$240+Loads!$N$240+Loads!$Q$240+Loads!$W$240+Loads!$S$240</f>
        <v/>
      </c>
      <c r="AD240" s="3">
        <f>Loads!$K$240+Loads!$O$240+Loads!$R$240+Loads!$X$240+Loads!$U$240</f>
        <v/>
      </c>
    </row>
    <row r="241">
      <c r="A241" s="3">
        <f>Inputs!$A$160</f>
        <v/>
      </c>
      <c r="B241" s="3">
        <f>Geometry!$B$80</f>
        <v/>
      </c>
      <c r="C241" s="3">
        <f>IF(Loads!$A$241=1,Inputs!$C$160&amp;"","")</f>
        <v/>
      </c>
      <c r="D241" s="3">
        <f>Geometry!$K$80</f>
        <v/>
      </c>
      <c r="E241" s="3">
        <f>Geometry!$L$80</f>
        <v/>
      </c>
      <c r="F241" s="3">
        <f>IF(Loads!$A$241=1,SUMIFS(Loads!$V$153:$V$212,Inputs!$C$224:$C$283,Loads!$B$241)+SUMIFS(Loads!$V$153:$V$212,Inputs!$D$224:$D$283,Loads!$B$241),0)</f>
        <v/>
      </c>
      <c r="G241" s="3">
        <f>IF(Loads!$A$241=1,SUMIFS(Loads!$K$139:$K$146,Loads!$I$139:$I$146,Loads!$B$241),0)</f>
        <v/>
      </c>
      <c r="H241" s="3">
        <f>Loads!$F$241+Loads!$G$241</f>
        <v/>
      </c>
      <c r="I241" s="3">
        <f>Loads!$H$241*Loads!$B$15+(-Loads!$H$241*(Loads!$B$17+Loads!$B$19*(Loads!$E$241-Loads!$B$14)))</f>
        <v/>
      </c>
      <c r="J241" s="3">
        <f>Loads!$H$241*Loads!$B$16+(-Loads!$H$241*(Loads!$B$18-Loads!$B$19*(Loads!$D$241-Loads!$B$13)))</f>
        <v/>
      </c>
      <c r="K241" s="3">
        <f>Loads!$D$241*Loads!$J$241-Loads!$E$241*Loads!$I$241</f>
        <v/>
      </c>
      <c r="L241" s="3">
        <f>IF(Loads!$A$241=1,SUMIFS(Loads!$L$139:$L$146,Inputs!$D$304:$D$311,Loads!$B$241),0)</f>
        <v/>
      </c>
      <c r="M241" s="3">
        <f>Loads!$L$241*Loads!$B$15</f>
        <v/>
      </c>
      <c r="N241" s="3">
        <f>Loads!$L$241*Loads!$B$16</f>
        <v/>
      </c>
      <c r="O241" s="3">
        <f>Loads!$D$241*Loads!$N$241-Loads!$E$241*Loads!$M$241</f>
        <v/>
      </c>
      <c r="P241" s="3">
        <f>-Loads!$L$241*(Loads!$B$17+Loads!$B$19*(Loads!$E$241-Loads!$B$14))</f>
        <v/>
      </c>
      <c r="Q241" s="3">
        <f>-Loads!$L$241*(Loads!$B$18-Loads!$B$19*(Loads!$D$241-Loads!$B$13))</f>
        <v/>
      </c>
      <c r="R241" s="3">
        <f>Loads!$D$241*Loads!$Q$241-Loads!$E$241*Loads!$P$241</f>
        <v/>
      </c>
      <c r="S241" s="3">
        <f>IF(AND(Loads!$A$241=1,Loads!$B$26=23),-Loads!$B$24,0)</f>
        <v/>
      </c>
      <c r="T241" s="3">
        <f>IF(AND(Loads!$A$241=1,Loads!$B$27=23),Loads!$B$25,0)</f>
        <v/>
      </c>
      <c r="U241" s="3">
        <f>Loads!$D$241*Loads!$S$241-Loads!$E$241*Loads!$T$241</f>
        <v/>
      </c>
      <c r="V241" s="3">
        <f>IF(Loads!$A$241=1,SUMIFS(Loads!$P$153:$P$212,Inputs!$C$224:$C$283,Loads!$B$241)-SUMIFS(Loads!$P$153:$P$212,Inputs!$D$224:$D$283,Loads!$B$241),0)</f>
        <v/>
      </c>
      <c r="W241" s="3">
        <f>IF(Loads!$A$241=1,SUMIFS(Loads!$Q$153:$Q$212,Inputs!$C$224:$C$283,Loads!$B$241)-SUMIFS(Loads!$Q$153:$Q$212,Inputs!$D$224:$D$283,Loads!$B$241),0)</f>
        <v/>
      </c>
      <c r="X241" s="3">
        <f>Loads!$D$241*Loads!$W$241-Loads!$E$241*Loads!$V$241</f>
        <v/>
      </c>
      <c r="Y241" s="3">
        <f>IF(Loads!$A$241=1,SUMIFS(Loads!$R$153:$R$212,Inputs!$C$224:$C$283,Loads!$B$241)-SUMIFS(Loads!$R$153:$R$212,Inputs!$D$224:$D$283,Loads!$B$241),0)</f>
        <v/>
      </c>
      <c r="Z241" s="3">
        <f>IF(Loads!$A$241=1,SUMIFS(Loads!$S$153:$S$212,Inputs!$C$224:$C$283,Loads!$B$241)-SUMIFS(Loads!$S$153:$S$212,Inputs!$D$224:$D$283,Loads!$B$241),0)</f>
        <v/>
      </c>
      <c r="AA241" s="3">
        <f>Loads!$D$241*Loads!$Z$241-Loads!$E$241*Loads!$Y$241</f>
        <v/>
      </c>
      <c r="AB241" s="3">
        <f>Loads!$I$241+Loads!$M$241+Loads!$P$241+Loads!$V$241+Loads!$T$241</f>
        <v/>
      </c>
      <c r="AC241" s="3">
        <f>Loads!$J$241+Loads!$N$241+Loads!$Q$241+Loads!$W$241+Loads!$S$241</f>
        <v/>
      </c>
      <c r="AD241" s="3">
        <f>Loads!$K$241+Loads!$O$241+Loads!$R$241+Loads!$X$241+Loads!$U$241</f>
        <v/>
      </c>
    </row>
    <row r="242">
      <c r="A242" s="3">
        <f>Inputs!$A$161</f>
        <v/>
      </c>
      <c r="B242" s="3">
        <f>Geometry!$B$81</f>
        <v/>
      </c>
      <c r="C242" s="3">
        <f>IF(Loads!$A$242=1,Inputs!$C$161&amp;"","")</f>
        <v/>
      </c>
      <c r="D242" s="3">
        <f>Geometry!$K$81</f>
        <v/>
      </c>
      <c r="E242" s="3">
        <f>Geometry!$L$81</f>
        <v/>
      </c>
      <c r="F242" s="3">
        <f>IF(Loads!$A$242=1,SUMIFS(Loads!$V$153:$V$212,Inputs!$C$224:$C$283,Loads!$B$242)+SUMIFS(Loads!$V$153:$V$212,Inputs!$D$224:$D$283,Loads!$B$242),0)</f>
        <v/>
      </c>
      <c r="G242" s="3">
        <f>IF(Loads!$A$242=1,SUMIFS(Loads!$K$139:$K$146,Loads!$I$139:$I$146,Loads!$B$242),0)</f>
        <v/>
      </c>
      <c r="H242" s="3">
        <f>Loads!$F$242+Loads!$G$242</f>
        <v/>
      </c>
      <c r="I242" s="3">
        <f>Loads!$H$242*Loads!$B$15+(-Loads!$H$242*(Loads!$B$17+Loads!$B$19*(Loads!$E$242-Loads!$B$14)))</f>
        <v/>
      </c>
      <c r="J242" s="3">
        <f>Loads!$H$242*Loads!$B$16+(-Loads!$H$242*(Loads!$B$18-Loads!$B$19*(Loads!$D$242-Loads!$B$13)))</f>
        <v/>
      </c>
      <c r="K242" s="3">
        <f>Loads!$D$242*Loads!$J$242-Loads!$E$242*Loads!$I$242</f>
        <v/>
      </c>
      <c r="L242" s="3">
        <f>IF(Loads!$A$242=1,SUMIFS(Loads!$L$139:$L$146,Inputs!$D$304:$D$311,Loads!$B$242),0)</f>
        <v/>
      </c>
      <c r="M242" s="3">
        <f>Loads!$L$242*Loads!$B$15</f>
        <v/>
      </c>
      <c r="N242" s="3">
        <f>Loads!$L$242*Loads!$B$16</f>
        <v/>
      </c>
      <c r="O242" s="3">
        <f>Loads!$D$242*Loads!$N$242-Loads!$E$242*Loads!$M$242</f>
        <v/>
      </c>
      <c r="P242" s="3">
        <f>-Loads!$L$242*(Loads!$B$17+Loads!$B$19*(Loads!$E$242-Loads!$B$14))</f>
        <v/>
      </c>
      <c r="Q242" s="3">
        <f>-Loads!$L$242*(Loads!$B$18-Loads!$B$19*(Loads!$D$242-Loads!$B$13))</f>
        <v/>
      </c>
      <c r="R242" s="3">
        <f>Loads!$D$242*Loads!$Q$242-Loads!$E$242*Loads!$P$242</f>
        <v/>
      </c>
      <c r="S242" s="3">
        <f>IF(AND(Loads!$A$242=1,Loads!$B$26=24),-Loads!$B$24,0)</f>
        <v/>
      </c>
      <c r="T242" s="3">
        <f>IF(AND(Loads!$A$242=1,Loads!$B$27=24),Loads!$B$25,0)</f>
        <v/>
      </c>
      <c r="U242" s="3">
        <f>Loads!$D$242*Loads!$S$242-Loads!$E$242*Loads!$T$242</f>
        <v/>
      </c>
      <c r="V242" s="3">
        <f>IF(Loads!$A$242=1,SUMIFS(Loads!$P$153:$P$212,Inputs!$C$224:$C$283,Loads!$B$242)-SUMIFS(Loads!$P$153:$P$212,Inputs!$D$224:$D$283,Loads!$B$242),0)</f>
        <v/>
      </c>
      <c r="W242" s="3">
        <f>IF(Loads!$A$242=1,SUMIFS(Loads!$Q$153:$Q$212,Inputs!$C$224:$C$283,Loads!$B$242)-SUMIFS(Loads!$Q$153:$Q$212,Inputs!$D$224:$D$283,Loads!$B$242),0)</f>
        <v/>
      </c>
      <c r="X242" s="3">
        <f>Loads!$D$242*Loads!$W$242-Loads!$E$242*Loads!$V$242</f>
        <v/>
      </c>
      <c r="Y242" s="3">
        <f>IF(Loads!$A$242=1,SUMIFS(Loads!$R$153:$R$212,Inputs!$C$224:$C$283,Loads!$B$242)-SUMIFS(Loads!$R$153:$R$212,Inputs!$D$224:$D$283,Loads!$B$242),0)</f>
        <v/>
      </c>
      <c r="Z242" s="3">
        <f>IF(Loads!$A$242=1,SUMIFS(Loads!$S$153:$S$212,Inputs!$C$224:$C$283,Loads!$B$242)-SUMIFS(Loads!$S$153:$S$212,Inputs!$D$224:$D$283,Loads!$B$242),0)</f>
        <v/>
      </c>
      <c r="AA242" s="3">
        <f>Loads!$D$242*Loads!$Z$242-Loads!$E$242*Loads!$Y$242</f>
        <v/>
      </c>
      <c r="AB242" s="3">
        <f>Loads!$I$242+Loads!$M$242+Loads!$P$242+Loads!$V$242+Loads!$T$242</f>
        <v/>
      </c>
      <c r="AC242" s="3">
        <f>Loads!$J$242+Loads!$N$242+Loads!$Q$242+Loads!$W$242+Loads!$S$242</f>
        <v/>
      </c>
      <c r="AD242" s="3">
        <f>Loads!$K$242+Loads!$O$242+Loads!$R$242+Loads!$X$242+Loads!$U$242</f>
        <v/>
      </c>
    </row>
    <row r="243">
      <c r="A243" s="3">
        <f>Inputs!$A$162</f>
        <v/>
      </c>
      <c r="B243" s="3">
        <f>Geometry!$B$82</f>
        <v/>
      </c>
      <c r="C243" s="3">
        <f>IF(Loads!$A$243=1,Inputs!$C$162&amp;"","")</f>
        <v/>
      </c>
      <c r="D243" s="3">
        <f>Geometry!$K$82</f>
        <v/>
      </c>
      <c r="E243" s="3">
        <f>Geometry!$L$82</f>
        <v/>
      </c>
      <c r="F243" s="3">
        <f>IF(Loads!$A$243=1,SUMIFS(Loads!$V$153:$V$212,Inputs!$C$224:$C$283,Loads!$B$243)+SUMIFS(Loads!$V$153:$V$212,Inputs!$D$224:$D$283,Loads!$B$243),0)</f>
        <v/>
      </c>
      <c r="G243" s="3">
        <f>IF(Loads!$A$243=1,SUMIFS(Loads!$K$139:$K$146,Loads!$I$139:$I$146,Loads!$B$243),0)</f>
        <v/>
      </c>
      <c r="H243" s="3">
        <f>Loads!$F$243+Loads!$G$243</f>
        <v/>
      </c>
      <c r="I243" s="3">
        <f>Loads!$H$243*Loads!$B$15+(-Loads!$H$243*(Loads!$B$17+Loads!$B$19*(Loads!$E$243-Loads!$B$14)))</f>
        <v/>
      </c>
      <c r="J243" s="3">
        <f>Loads!$H$243*Loads!$B$16+(-Loads!$H$243*(Loads!$B$18-Loads!$B$19*(Loads!$D$243-Loads!$B$13)))</f>
        <v/>
      </c>
      <c r="K243" s="3">
        <f>Loads!$D$243*Loads!$J$243-Loads!$E$243*Loads!$I$243</f>
        <v/>
      </c>
      <c r="L243" s="3">
        <f>IF(Loads!$A$243=1,SUMIFS(Loads!$L$139:$L$146,Inputs!$D$304:$D$311,Loads!$B$243),0)</f>
        <v/>
      </c>
      <c r="M243" s="3">
        <f>Loads!$L$243*Loads!$B$15</f>
        <v/>
      </c>
      <c r="N243" s="3">
        <f>Loads!$L$243*Loads!$B$16</f>
        <v/>
      </c>
      <c r="O243" s="3">
        <f>Loads!$D$243*Loads!$N$243-Loads!$E$243*Loads!$M$243</f>
        <v/>
      </c>
      <c r="P243" s="3">
        <f>-Loads!$L$243*(Loads!$B$17+Loads!$B$19*(Loads!$E$243-Loads!$B$14))</f>
        <v/>
      </c>
      <c r="Q243" s="3">
        <f>-Loads!$L$243*(Loads!$B$18-Loads!$B$19*(Loads!$D$243-Loads!$B$13))</f>
        <v/>
      </c>
      <c r="R243" s="3">
        <f>Loads!$D$243*Loads!$Q$243-Loads!$E$243*Loads!$P$243</f>
        <v/>
      </c>
      <c r="S243" s="3">
        <f>IF(AND(Loads!$A$243=1,Loads!$B$26=25),-Loads!$B$24,0)</f>
        <v/>
      </c>
      <c r="T243" s="3">
        <f>IF(AND(Loads!$A$243=1,Loads!$B$27=25),Loads!$B$25,0)</f>
        <v/>
      </c>
      <c r="U243" s="3">
        <f>Loads!$D$243*Loads!$S$243-Loads!$E$243*Loads!$T$243</f>
        <v/>
      </c>
      <c r="V243" s="3">
        <f>IF(Loads!$A$243=1,SUMIFS(Loads!$P$153:$P$212,Inputs!$C$224:$C$283,Loads!$B$243)-SUMIFS(Loads!$P$153:$P$212,Inputs!$D$224:$D$283,Loads!$B$243),0)</f>
        <v/>
      </c>
      <c r="W243" s="3">
        <f>IF(Loads!$A$243=1,SUMIFS(Loads!$Q$153:$Q$212,Inputs!$C$224:$C$283,Loads!$B$243)-SUMIFS(Loads!$Q$153:$Q$212,Inputs!$D$224:$D$283,Loads!$B$243),0)</f>
        <v/>
      </c>
      <c r="X243" s="3">
        <f>Loads!$D$243*Loads!$W$243-Loads!$E$243*Loads!$V$243</f>
        <v/>
      </c>
      <c r="Y243" s="3">
        <f>IF(Loads!$A$243=1,SUMIFS(Loads!$R$153:$R$212,Inputs!$C$224:$C$283,Loads!$B$243)-SUMIFS(Loads!$R$153:$R$212,Inputs!$D$224:$D$283,Loads!$B$243),0)</f>
        <v/>
      </c>
      <c r="Z243" s="3">
        <f>IF(Loads!$A$243=1,SUMIFS(Loads!$S$153:$S$212,Inputs!$C$224:$C$283,Loads!$B$243)-SUMIFS(Loads!$S$153:$S$212,Inputs!$D$224:$D$283,Loads!$B$243),0)</f>
        <v/>
      </c>
      <c r="AA243" s="3">
        <f>Loads!$D$243*Loads!$Z$243-Loads!$E$243*Loads!$Y$243</f>
        <v/>
      </c>
      <c r="AB243" s="3">
        <f>Loads!$I$243+Loads!$M$243+Loads!$P$243+Loads!$V$243+Loads!$T$243</f>
        <v/>
      </c>
      <c r="AC243" s="3">
        <f>Loads!$J$243+Loads!$N$243+Loads!$Q$243+Loads!$W$243+Loads!$S$243</f>
        <v/>
      </c>
      <c r="AD243" s="3">
        <f>Loads!$K$243+Loads!$O$243+Loads!$R$243+Loads!$X$243+Loads!$U$243</f>
        <v/>
      </c>
    </row>
    <row r="244">
      <c r="A244" s="3">
        <f>Inputs!$A$163</f>
        <v/>
      </c>
      <c r="B244" s="3">
        <f>Geometry!$B$83</f>
        <v/>
      </c>
      <c r="C244" s="3">
        <f>IF(Loads!$A$244=1,Inputs!$C$163&amp;"","")</f>
        <v/>
      </c>
      <c r="D244" s="3">
        <f>Geometry!$K$83</f>
        <v/>
      </c>
      <c r="E244" s="3">
        <f>Geometry!$L$83</f>
        <v/>
      </c>
      <c r="F244" s="3">
        <f>IF(Loads!$A$244=1,SUMIFS(Loads!$V$153:$V$212,Inputs!$C$224:$C$283,Loads!$B$244)+SUMIFS(Loads!$V$153:$V$212,Inputs!$D$224:$D$283,Loads!$B$244),0)</f>
        <v/>
      </c>
      <c r="G244" s="3">
        <f>IF(Loads!$A$244=1,SUMIFS(Loads!$K$139:$K$146,Loads!$I$139:$I$146,Loads!$B$244),0)</f>
        <v/>
      </c>
      <c r="H244" s="3">
        <f>Loads!$F$244+Loads!$G$244</f>
        <v/>
      </c>
      <c r="I244" s="3">
        <f>Loads!$H$244*Loads!$B$15+(-Loads!$H$244*(Loads!$B$17+Loads!$B$19*(Loads!$E$244-Loads!$B$14)))</f>
        <v/>
      </c>
      <c r="J244" s="3">
        <f>Loads!$H$244*Loads!$B$16+(-Loads!$H$244*(Loads!$B$18-Loads!$B$19*(Loads!$D$244-Loads!$B$13)))</f>
        <v/>
      </c>
      <c r="K244" s="3">
        <f>Loads!$D$244*Loads!$J$244-Loads!$E$244*Loads!$I$244</f>
        <v/>
      </c>
      <c r="L244" s="3">
        <f>IF(Loads!$A$244=1,SUMIFS(Loads!$L$139:$L$146,Inputs!$D$304:$D$311,Loads!$B$244),0)</f>
        <v/>
      </c>
      <c r="M244" s="3">
        <f>Loads!$L$244*Loads!$B$15</f>
        <v/>
      </c>
      <c r="N244" s="3">
        <f>Loads!$L$244*Loads!$B$16</f>
        <v/>
      </c>
      <c r="O244" s="3">
        <f>Loads!$D$244*Loads!$N$244-Loads!$E$244*Loads!$M$244</f>
        <v/>
      </c>
      <c r="P244" s="3">
        <f>-Loads!$L$244*(Loads!$B$17+Loads!$B$19*(Loads!$E$244-Loads!$B$14))</f>
        <v/>
      </c>
      <c r="Q244" s="3">
        <f>-Loads!$L$244*(Loads!$B$18-Loads!$B$19*(Loads!$D$244-Loads!$B$13))</f>
        <v/>
      </c>
      <c r="R244" s="3">
        <f>Loads!$D$244*Loads!$Q$244-Loads!$E$244*Loads!$P$244</f>
        <v/>
      </c>
      <c r="S244" s="3">
        <f>IF(AND(Loads!$A$244=1,Loads!$B$26=26),-Loads!$B$24,0)</f>
        <v/>
      </c>
      <c r="T244" s="3">
        <f>IF(AND(Loads!$A$244=1,Loads!$B$27=26),Loads!$B$25,0)</f>
        <v/>
      </c>
      <c r="U244" s="3">
        <f>Loads!$D$244*Loads!$S$244-Loads!$E$244*Loads!$T$244</f>
        <v/>
      </c>
      <c r="V244" s="3">
        <f>IF(Loads!$A$244=1,SUMIFS(Loads!$P$153:$P$212,Inputs!$C$224:$C$283,Loads!$B$244)-SUMIFS(Loads!$P$153:$P$212,Inputs!$D$224:$D$283,Loads!$B$244),0)</f>
        <v/>
      </c>
      <c r="W244" s="3">
        <f>IF(Loads!$A$244=1,SUMIFS(Loads!$Q$153:$Q$212,Inputs!$C$224:$C$283,Loads!$B$244)-SUMIFS(Loads!$Q$153:$Q$212,Inputs!$D$224:$D$283,Loads!$B$244),0)</f>
        <v/>
      </c>
      <c r="X244" s="3">
        <f>Loads!$D$244*Loads!$W$244-Loads!$E$244*Loads!$V$244</f>
        <v/>
      </c>
      <c r="Y244" s="3">
        <f>IF(Loads!$A$244=1,SUMIFS(Loads!$R$153:$R$212,Inputs!$C$224:$C$283,Loads!$B$244)-SUMIFS(Loads!$R$153:$R$212,Inputs!$D$224:$D$283,Loads!$B$244),0)</f>
        <v/>
      </c>
      <c r="Z244" s="3">
        <f>IF(Loads!$A$244=1,SUMIFS(Loads!$S$153:$S$212,Inputs!$C$224:$C$283,Loads!$B$244)-SUMIFS(Loads!$S$153:$S$212,Inputs!$D$224:$D$283,Loads!$B$244),0)</f>
        <v/>
      </c>
      <c r="AA244" s="3">
        <f>Loads!$D$244*Loads!$Z$244-Loads!$E$244*Loads!$Y$244</f>
        <v/>
      </c>
      <c r="AB244" s="3">
        <f>Loads!$I$244+Loads!$M$244+Loads!$P$244+Loads!$V$244+Loads!$T$244</f>
        <v/>
      </c>
      <c r="AC244" s="3">
        <f>Loads!$J$244+Loads!$N$244+Loads!$Q$244+Loads!$W$244+Loads!$S$244</f>
        <v/>
      </c>
      <c r="AD244" s="3">
        <f>Loads!$K$244+Loads!$O$244+Loads!$R$244+Loads!$X$244+Loads!$U$244</f>
        <v/>
      </c>
    </row>
    <row r="245">
      <c r="A245" s="3">
        <f>Inputs!$A$164</f>
        <v/>
      </c>
      <c r="B245" s="3">
        <f>Geometry!$B$84</f>
        <v/>
      </c>
      <c r="C245" s="3">
        <f>IF(Loads!$A$245=1,Inputs!$C$164&amp;"","")</f>
        <v/>
      </c>
      <c r="D245" s="3">
        <f>Geometry!$K$84</f>
        <v/>
      </c>
      <c r="E245" s="3">
        <f>Geometry!$L$84</f>
        <v/>
      </c>
      <c r="F245" s="3">
        <f>IF(Loads!$A$245=1,SUMIFS(Loads!$V$153:$V$212,Inputs!$C$224:$C$283,Loads!$B$245)+SUMIFS(Loads!$V$153:$V$212,Inputs!$D$224:$D$283,Loads!$B$245),0)</f>
        <v/>
      </c>
      <c r="G245" s="3">
        <f>IF(Loads!$A$245=1,SUMIFS(Loads!$K$139:$K$146,Loads!$I$139:$I$146,Loads!$B$245),0)</f>
        <v/>
      </c>
      <c r="H245" s="3">
        <f>Loads!$F$245+Loads!$G$245</f>
        <v/>
      </c>
      <c r="I245" s="3">
        <f>Loads!$H$245*Loads!$B$15+(-Loads!$H$245*(Loads!$B$17+Loads!$B$19*(Loads!$E$245-Loads!$B$14)))</f>
        <v/>
      </c>
      <c r="J245" s="3">
        <f>Loads!$H$245*Loads!$B$16+(-Loads!$H$245*(Loads!$B$18-Loads!$B$19*(Loads!$D$245-Loads!$B$13)))</f>
        <v/>
      </c>
      <c r="K245" s="3">
        <f>Loads!$D$245*Loads!$J$245-Loads!$E$245*Loads!$I$245</f>
        <v/>
      </c>
      <c r="L245" s="3">
        <f>IF(Loads!$A$245=1,SUMIFS(Loads!$L$139:$L$146,Inputs!$D$304:$D$311,Loads!$B$245),0)</f>
        <v/>
      </c>
      <c r="M245" s="3">
        <f>Loads!$L$245*Loads!$B$15</f>
        <v/>
      </c>
      <c r="N245" s="3">
        <f>Loads!$L$245*Loads!$B$16</f>
        <v/>
      </c>
      <c r="O245" s="3">
        <f>Loads!$D$245*Loads!$N$245-Loads!$E$245*Loads!$M$245</f>
        <v/>
      </c>
      <c r="P245" s="3">
        <f>-Loads!$L$245*(Loads!$B$17+Loads!$B$19*(Loads!$E$245-Loads!$B$14))</f>
        <v/>
      </c>
      <c r="Q245" s="3">
        <f>-Loads!$L$245*(Loads!$B$18-Loads!$B$19*(Loads!$D$245-Loads!$B$13))</f>
        <v/>
      </c>
      <c r="R245" s="3">
        <f>Loads!$D$245*Loads!$Q$245-Loads!$E$245*Loads!$P$245</f>
        <v/>
      </c>
      <c r="S245" s="3">
        <f>IF(AND(Loads!$A$245=1,Loads!$B$26=27),-Loads!$B$24,0)</f>
        <v/>
      </c>
      <c r="T245" s="3">
        <f>IF(AND(Loads!$A$245=1,Loads!$B$27=27),Loads!$B$25,0)</f>
        <v/>
      </c>
      <c r="U245" s="3">
        <f>Loads!$D$245*Loads!$S$245-Loads!$E$245*Loads!$T$245</f>
        <v/>
      </c>
      <c r="V245" s="3">
        <f>IF(Loads!$A$245=1,SUMIFS(Loads!$P$153:$P$212,Inputs!$C$224:$C$283,Loads!$B$245)-SUMIFS(Loads!$P$153:$P$212,Inputs!$D$224:$D$283,Loads!$B$245),0)</f>
        <v/>
      </c>
      <c r="W245" s="3">
        <f>IF(Loads!$A$245=1,SUMIFS(Loads!$Q$153:$Q$212,Inputs!$C$224:$C$283,Loads!$B$245)-SUMIFS(Loads!$Q$153:$Q$212,Inputs!$D$224:$D$283,Loads!$B$245),0)</f>
        <v/>
      </c>
      <c r="X245" s="3">
        <f>Loads!$D$245*Loads!$W$245-Loads!$E$245*Loads!$V$245</f>
        <v/>
      </c>
      <c r="Y245" s="3">
        <f>IF(Loads!$A$245=1,SUMIFS(Loads!$R$153:$R$212,Inputs!$C$224:$C$283,Loads!$B$245)-SUMIFS(Loads!$R$153:$R$212,Inputs!$D$224:$D$283,Loads!$B$245),0)</f>
        <v/>
      </c>
      <c r="Z245" s="3">
        <f>IF(Loads!$A$245=1,SUMIFS(Loads!$S$153:$S$212,Inputs!$C$224:$C$283,Loads!$B$245)-SUMIFS(Loads!$S$153:$S$212,Inputs!$D$224:$D$283,Loads!$B$245),0)</f>
        <v/>
      </c>
      <c r="AA245" s="3">
        <f>Loads!$D$245*Loads!$Z$245-Loads!$E$245*Loads!$Y$245</f>
        <v/>
      </c>
      <c r="AB245" s="3">
        <f>Loads!$I$245+Loads!$M$245+Loads!$P$245+Loads!$V$245+Loads!$T$245</f>
        <v/>
      </c>
      <c r="AC245" s="3">
        <f>Loads!$J$245+Loads!$N$245+Loads!$Q$245+Loads!$W$245+Loads!$S$245</f>
        <v/>
      </c>
      <c r="AD245" s="3">
        <f>Loads!$K$245+Loads!$O$245+Loads!$R$245+Loads!$X$245+Loads!$U$245</f>
        <v/>
      </c>
    </row>
    <row r="246">
      <c r="A246" s="3">
        <f>Inputs!$A$165</f>
        <v/>
      </c>
      <c r="B246" s="3">
        <f>Geometry!$B$85</f>
        <v/>
      </c>
      <c r="C246" s="3">
        <f>IF(Loads!$A$246=1,Inputs!$C$165&amp;"","")</f>
        <v/>
      </c>
      <c r="D246" s="3">
        <f>Geometry!$K$85</f>
        <v/>
      </c>
      <c r="E246" s="3">
        <f>Geometry!$L$85</f>
        <v/>
      </c>
      <c r="F246" s="3">
        <f>IF(Loads!$A$246=1,SUMIFS(Loads!$V$153:$V$212,Inputs!$C$224:$C$283,Loads!$B$246)+SUMIFS(Loads!$V$153:$V$212,Inputs!$D$224:$D$283,Loads!$B$246),0)</f>
        <v/>
      </c>
      <c r="G246" s="3">
        <f>IF(Loads!$A$246=1,SUMIFS(Loads!$K$139:$K$146,Loads!$I$139:$I$146,Loads!$B$246),0)</f>
        <v/>
      </c>
      <c r="H246" s="3">
        <f>Loads!$F$246+Loads!$G$246</f>
        <v/>
      </c>
      <c r="I246" s="3">
        <f>Loads!$H$246*Loads!$B$15+(-Loads!$H$246*(Loads!$B$17+Loads!$B$19*(Loads!$E$246-Loads!$B$14)))</f>
        <v/>
      </c>
      <c r="J246" s="3">
        <f>Loads!$H$246*Loads!$B$16+(-Loads!$H$246*(Loads!$B$18-Loads!$B$19*(Loads!$D$246-Loads!$B$13)))</f>
        <v/>
      </c>
      <c r="K246" s="3">
        <f>Loads!$D$246*Loads!$J$246-Loads!$E$246*Loads!$I$246</f>
        <v/>
      </c>
      <c r="L246" s="3">
        <f>IF(Loads!$A$246=1,SUMIFS(Loads!$L$139:$L$146,Inputs!$D$304:$D$311,Loads!$B$246),0)</f>
        <v/>
      </c>
      <c r="M246" s="3">
        <f>Loads!$L$246*Loads!$B$15</f>
        <v/>
      </c>
      <c r="N246" s="3">
        <f>Loads!$L$246*Loads!$B$16</f>
        <v/>
      </c>
      <c r="O246" s="3">
        <f>Loads!$D$246*Loads!$N$246-Loads!$E$246*Loads!$M$246</f>
        <v/>
      </c>
      <c r="P246" s="3">
        <f>-Loads!$L$246*(Loads!$B$17+Loads!$B$19*(Loads!$E$246-Loads!$B$14))</f>
        <v/>
      </c>
      <c r="Q246" s="3">
        <f>-Loads!$L$246*(Loads!$B$18-Loads!$B$19*(Loads!$D$246-Loads!$B$13))</f>
        <v/>
      </c>
      <c r="R246" s="3">
        <f>Loads!$D$246*Loads!$Q$246-Loads!$E$246*Loads!$P$246</f>
        <v/>
      </c>
      <c r="S246" s="3">
        <f>IF(AND(Loads!$A$246=1,Loads!$B$26=28),-Loads!$B$24,0)</f>
        <v/>
      </c>
      <c r="T246" s="3">
        <f>IF(AND(Loads!$A$246=1,Loads!$B$27=28),Loads!$B$25,0)</f>
        <v/>
      </c>
      <c r="U246" s="3">
        <f>Loads!$D$246*Loads!$S$246-Loads!$E$246*Loads!$T$246</f>
        <v/>
      </c>
      <c r="V246" s="3">
        <f>IF(Loads!$A$246=1,SUMIFS(Loads!$P$153:$P$212,Inputs!$C$224:$C$283,Loads!$B$246)-SUMIFS(Loads!$P$153:$P$212,Inputs!$D$224:$D$283,Loads!$B$246),0)</f>
        <v/>
      </c>
      <c r="W246" s="3">
        <f>IF(Loads!$A$246=1,SUMIFS(Loads!$Q$153:$Q$212,Inputs!$C$224:$C$283,Loads!$B$246)-SUMIFS(Loads!$Q$153:$Q$212,Inputs!$D$224:$D$283,Loads!$B$246),0)</f>
        <v/>
      </c>
      <c r="X246" s="3">
        <f>Loads!$D$246*Loads!$W$246-Loads!$E$246*Loads!$V$246</f>
        <v/>
      </c>
      <c r="Y246" s="3">
        <f>IF(Loads!$A$246=1,SUMIFS(Loads!$R$153:$R$212,Inputs!$C$224:$C$283,Loads!$B$246)-SUMIFS(Loads!$R$153:$R$212,Inputs!$D$224:$D$283,Loads!$B$246),0)</f>
        <v/>
      </c>
      <c r="Z246" s="3">
        <f>IF(Loads!$A$246=1,SUMIFS(Loads!$S$153:$S$212,Inputs!$C$224:$C$283,Loads!$B$246)-SUMIFS(Loads!$S$153:$S$212,Inputs!$D$224:$D$283,Loads!$B$246),0)</f>
        <v/>
      </c>
      <c r="AA246" s="3">
        <f>Loads!$D$246*Loads!$Z$246-Loads!$E$246*Loads!$Y$246</f>
        <v/>
      </c>
      <c r="AB246" s="3">
        <f>Loads!$I$246+Loads!$M$246+Loads!$P$246+Loads!$V$246+Loads!$T$246</f>
        <v/>
      </c>
      <c r="AC246" s="3">
        <f>Loads!$J$246+Loads!$N$246+Loads!$Q$246+Loads!$W$246+Loads!$S$246</f>
        <v/>
      </c>
      <c r="AD246" s="3">
        <f>Loads!$K$246+Loads!$O$246+Loads!$R$246+Loads!$X$246+Loads!$U$246</f>
        <v/>
      </c>
    </row>
    <row r="247">
      <c r="A247" s="3">
        <f>Inputs!$A$166</f>
        <v/>
      </c>
      <c r="B247" s="3">
        <f>Geometry!$B$86</f>
        <v/>
      </c>
      <c r="C247" s="3">
        <f>IF(Loads!$A$247=1,Inputs!$C$166&amp;"","")</f>
        <v/>
      </c>
      <c r="D247" s="3">
        <f>Geometry!$K$86</f>
        <v/>
      </c>
      <c r="E247" s="3">
        <f>Geometry!$L$86</f>
        <v/>
      </c>
      <c r="F247" s="3">
        <f>IF(Loads!$A$247=1,SUMIFS(Loads!$V$153:$V$212,Inputs!$C$224:$C$283,Loads!$B$247)+SUMIFS(Loads!$V$153:$V$212,Inputs!$D$224:$D$283,Loads!$B$247),0)</f>
        <v/>
      </c>
      <c r="G247" s="3">
        <f>IF(Loads!$A$247=1,SUMIFS(Loads!$K$139:$K$146,Loads!$I$139:$I$146,Loads!$B$247),0)</f>
        <v/>
      </c>
      <c r="H247" s="3">
        <f>Loads!$F$247+Loads!$G$247</f>
        <v/>
      </c>
      <c r="I247" s="3">
        <f>Loads!$H$247*Loads!$B$15+(-Loads!$H$247*(Loads!$B$17+Loads!$B$19*(Loads!$E$247-Loads!$B$14)))</f>
        <v/>
      </c>
      <c r="J247" s="3">
        <f>Loads!$H$247*Loads!$B$16+(-Loads!$H$247*(Loads!$B$18-Loads!$B$19*(Loads!$D$247-Loads!$B$13)))</f>
        <v/>
      </c>
      <c r="K247" s="3">
        <f>Loads!$D$247*Loads!$J$247-Loads!$E$247*Loads!$I$247</f>
        <v/>
      </c>
      <c r="L247" s="3">
        <f>IF(Loads!$A$247=1,SUMIFS(Loads!$L$139:$L$146,Inputs!$D$304:$D$311,Loads!$B$247),0)</f>
        <v/>
      </c>
      <c r="M247" s="3">
        <f>Loads!$L$247*Loads!$B$15</f>
        <v/>
      </c>
      <c r="N247" s="3">
        <f>Loads!$L$247*Loads!$B$16</f>
        <v/>
      </c>
      <c r="O247" s="3">
        <f>Loads!$D$247*Loads!$N$247-Loads!$E$247*Loads!$M$247</f>
        <v/>
      </c>
      <c r="P247" s="3">
        <f>-Loads!$L$247*(Loads!$B$17+Loads!$B$19*(Loads!$E$247-Loads!$B$14))</f>
        <v/>
      </c>
      <c r="Q247" s="3">
        <f>-Loads!$L$247*(Loads!$B$18-Loads!$B$19*(Loads!$D$247-Loads!$B$13))</f>
        <v/>
      </c>
      <c r="R247" s="3">
        <f>Loads!$D$247*Loads!$Q$247-Loads!$E$247*Loads!$P$247</f>
        <v/>
      </c>
      <c r="S247" s="3">
        <f>IF(AND(Loads!$A$247=1,Loads!$B$26=29),-Loads!$B$24,0)</f>
        <v/>
      </c>
      <c r="T247" s="3">
        <f>IF(AND(Loads!$A$247=1,Loads!$B$27=29),Loads!$B$25,0)</f>
        <v/>
      </c>
      <c r="U247" s="3">
        <f>Loads!$D$247*Loads!$S$247-Loads!$E$247*Loads!$T$247</f>
        <v/>
      </c>
      <c r="V247" s="3">
        <f>IF(Loads!$A$247=1,SUMIFS(Loads!$P$153:$P$212,Inputs!$C$224:$C$283,Loads!$B$247)-SUMIFS(Loads!$P$153:$P$212,Inputs!$D$224:$D$283,Loads!$B$247),0)</f>
        <v/>
      </c>
      <c r="W247" s="3">
        <f>IF(Loads!$A$247=1,SUMIFS(Loads!$Q$153:$Q$212,Inputs!$C$224:$C$283,Loads!$B$247)-SUMIFS(Loads!$Q$153:$Q$212,Inputs!$D$224:$D$283,Loads!$B$247),0)</f>
        <v/>
      </c>
      <c r="X247" s="3">
        <f>Loads!$D$247*Loads!$W$247-Loads!$E$247*Loads!$V$247</f>
        <v/>
      </c>
      <c r="Y247" s="3">
        <f>IF(Loads!$A$247=1,SUMIFS(Loads!$R$153:$R$212,Inputs!$C$224:$C$283,Loads!$B$247)-SUMIFS(Loads!$R$153:$R$212,Inputs!$D$224:$D$283,Loads!$B$247),0)</f>
        <v/>
      </c>
      <c r="Z247" s="3">
        <f>IF(Loads!$A$247=1,SUMIFS(Loads!$S$153:$S$212,Inputs!$C$224:$C$283,Loads!$B$247)-SUMIFS(Loads!$S$153:$S$212,Inputs!$D$224:$D$283,Loads!$B$247),0)</f>
        <v/>
      </c>
      <c r="AA247" s="3">
        <f>Loads!$D$247*Loads!$Z$247-Loads!$E$247*Loads!$Y$247</f>
        <v/>
      </c>
      <c r="AB247" s="3">
        <f>Loads!$I$247+Loads!$M$247+Loads!$P$247+Loads!$V$247+Loads!$T$247</f>
        <v/>
      </c>
      <c r="AC247" s="3">
        <f>Loads!$J$247+Loads!$N$247+Loads!$Q$247+Loads!$W$247+Loads!$S$247</f>
        <v/>
      </c>
      <c r="AD247" s="3">
        <f>Loads!$K$247+Loads!$O$247+Loads!$R$247+Loads!$X$247+Loads!$U$247</f>
        <v/>
      </c>
    </row>
    <row r="248">
      <c r="A248" s="3">
        <f>Inputs!$A$167</f>
        <v/>
      </c>
      <c r="B248" s="3">
        <f>Geometry!$B$87</f>
        <v/>
      </c>
      <c r="C248" s="3">
        <f>IF(Loads!$A$248=1,Inputs!$C$167&amp;"","")</f>
        <v/>
      </c>
      <c r="D248" s="3">
        <f>Geometry!$K$87</f>
        <v/>
      </c>
      <c r="E248" s="3">
        <f>Geometry!$L$87</f>
        <v/>
      </c>
      <c r="F248" s="3">
        <f>IF(Loads!$A$248=1,SUMIFS(Loads!$V$153:$V$212,Inputs!$C$224:$C$283,Loads!$B$248)+SUMIFS(Loads!$V$153:$V$212,Inputs!$D$224:$D$283,Loads!$B$248),0)</f>
        <v/>
      </c>
      <c r="G248" s="3">
        <f>IF(Loads!$A$248=1,SUMIFS(Loads!$K$139:$K$146,Loads!$I$139:$I$146,Loads!$B$248),0)</f>
        <v/>
      </c>
      <c r="H248" s="3">
        <f>Loads!$F$248+Loads!$G$248</f>
        <v/>
      </c>
      <c r="I248" s="3">
        <f>Loads!$H$248*Loads!$B$15+(-Loads!$H$248*(Loads!$B$17+Loads!$B$19*(Loads!$E$248-Loads!$B$14)))</f>
        <v/>
      </c>
      <c r="J248" s="3">
        <f>Loads!$H$248*Loads!$B$16+(-Loads!$H$248*(Loads!$B$18-Loads!$B$19*(Loads!$D$248-Loads!$B$13)))</f>
        <v/>
      </c>
      <c r="K248" s="3">
        <f>Loads!$D$248*Loads!$J$248-Loads!$E$248*Loads!$I$248</f>
        <v/>
      </c>
      <c r="L248" s="3">
        <f>IF(Loads!$A$248=1,SUMIFS(Loads!$L$139:$L$146,Inputs!$D$304:$D$311,Loads!$B$248),0)</f>
        <v/>
      </c>
      <c r="M248" s="3">
        <f>Loads!$L$248*Loads!$B$15</f>
        <v/>
      </c>
      <c r="N248" s="3">
        <f>Loads!$L$248*Loads!$B$16</f>
        <v/>
      </c>
      <c r="O248" s="3">
        <f>Loads!$D$248*Loads!$N$248-Loads!$E$248*Loads!$M$248</f>
        <v/>
      </c>
      <c r="P248" s="3">
        <f>-Loads!$L$248*(Loads!$B$17+Loads!$B$19*(Loads!$E$248-Loads!$B$14))</f>
        <v/>
      </c>
      <c r="Q248" s="3">
        <f>-Loads!$L$248*(Loads!$B$18-Loads!$B$19*(Loads!$D$248-Loads!$B$13))</f>
        <v/>
      </c>
      <c r="R248" s="3">
        <f>Loads!$D$248*Loads!$Q$248-Loads!$E$248*Loads!$P$248</f>
        <v/>
      </c>
      <c r="S248" s="3">
        <f>IF(AND(Loads!$A$248=1,Loads!$B$26=30),-Loads!$B$24,0)</f>
        <v/>
      </c>
      <c r="T248" s="3">
        <f>IF(AND(Loads!$A$248=1,Loads!$B$27=30),Loads!$B$25,0)</f>
        <v/>
      </c>
      <c r="U248" s="3">
        <f>Loads!$D$248*Loads!$S$248-Loads!$E$248*Loads!$T$248</f>
        <v/>
      </c>
      <c r="V248" s="3">
        <f>IF(Loads!$A$248=1,SUMIFS(Loads!$P$153:$P$212,Inputs!$C$224:$C$283,Loads!$B$248)-SUMIFS(Loads!$P$153:$P$212,Inputs!$D$224:$D$283,Loads!$B$248),0)</f>
        <v/>
      </c>
      <c r="W248" s="3">
        <f>IF(Loads!$A$248=1,SUMIFS(Loads!$Q$153:$Q$212,Inputs!$C$224:$C$283,Loads!$B$248)-SUMIFS(Loads!$Q$153:$Q$212,Inputs!$D$224:$D$283,Loads!$B$248),0)</f>
        <v/>
      </c>
      <c r="X248" s="3">
        <f>Loads!$D$248*Loads!$W$248-Loads!$E$248*Loads!$V$248</f>
        <v/>
      </c>
      <c r="Y248" s="3">
        <f>IF(Loads!$A$248=1,SUMIFS(Loads!$R$153:$R$212,Inputs!$C$224:$C$283,Loads!$B$248)-SUMIFS(Loads!$R$153:$R$212,Inputs!$D$224:$D$283,Loads!$B$248),0)</f>
        <v/>
      </c>
      <c r="Z248" s="3">
        <f>IF(Loads!$A$248=1,SUMIFS(Loads!$S$153:$S$212,Inputs!$C$224:$C$283,Loads!$B$248)-SUMIFS(Loads!$S$153:$S$212,Inputs!$D$224:$D$283,Loads!$B$248),0)</f>
        <v/>
      </c>
      <c r="AA248" s="3">
        <f>Loads!$D$248*Loads!$Z$248-Loads!$E$248*Loads!$Y$248</f>
        <v/>
      </c>
      <c r="AB248" s="3">
        <f>Loads!$I$248+Loads!$M$248+Loads!$P$248+Loads!$V$248+Loads!$T$248</f>
        <v/>
      </c>
      <c r="AC248" s="3">
        <f>Loads!$J$248+Loads!$N$248+Loads!$Q$248+Loads!$W$248+Loads!$S$248</f>
        <v/>
      </c>
      <c r="AD248" s="3">
        <f>Loads!$K$248+Loads!$O$248+Loads!$R$248+Loads!$X$248+Loads!$U$248</f>
        <v/>
      </c>
    </row>
    <row r="249">
      <c r="A249" s="3">
        <f>Inputs!$A$168</f>
        <v/>
      </c>
      <c r="B249" s="3">
        <f>Geometry!$B$88</f>
        <v/>
      </c>
      <c r="C249" s="3">
        <f>IF(Loads!$A$249=1,Inputs!$C$168&amp;"","")</f>
        <v/>
      </c>
      <c r="D249" s="3">
        <f>Geometry!$K$88</f>
        <v/>
      </c>
      <c r="E249" s="3">
        <f>Geometry!$L$88</f>
        <v/>
      </c>
      <c r="F249" s="3">
        <f>IF(Loads!$A$249=1,SUMIFS(Loads!$V$153:$V$212,Inputs!$C$224:$C$283,Loads!$B$249)+SUMIFS(Loads!$V$153:$V$212,Inputs!$D$224:$D$283,Loads!$B$249),0)</f>
        <v/>
      </c>
      <c r="G249" s="3">
        <f>IF(Loads!$A$249=1,SUMIFS(Loads!$K$139:$K$146,Loads!$I$139:$I$146,Loads!$B$249),0)</f>
        <v/>
      </c>
      <c r="H249" s="3">
        <f>Loads!$F$249+Loads!$G$249</f>
        <v/>
      </c>
      <c r="I249" s="3">
        <f>Loads!$H$249*Loads!$B$15+(-Loads!$H$249*(Loads!$B$17+Loads!$B$19*(Loads!$E$249-Loads!$B$14)))</f>
        <v/>
      </c>
      <c r="J249" s="3">
        <f>Loads!$H$249*Loads!$B$16+(-Loads!$H$249*(Loads!$B$18-Loads!$B$19*(Loads!$D$249-Loads!$B$13)))</f>
        <v/>
      </c>
      <c r="K249" s="3">
        <f>Loads!$D$249*Loads!$J$249-Loads!$E$249*Loads!$I$249</f>
        <v/>
      </c>
      <c r="L249" s="3">
        <f>IF(Loads!$A$249=1,SUMIFS(Loads!$L$139:$L$146,Inputs!$D$304:$D$311,Loads!$B$249),0)</f>
        <v/>
      </c>
      <c r="M249" s="3">
        <f>Loads!$L$249*Loads!$B$15</f>
        <v/>
      </c>
      <c r="N249" s="3">
        <f>Loads!$L$249*Loads!$B$16</f>
        <v/>
      </c>
      <c r="O249" s="3">
        <f>Loads!$D$249*Loads!$N$249-Loads!$E$249*Loads!$M$249</f>
        <v/>
      </c>
      <c r="P249" s="3">
        <f>-Loads!$L$249*(Loads!$B$17+Loads!$B$19*(Loads!$E$249-Loads!$B$14))</f>
        <v/>
      </c>
      <c r="Q249" s="3">
        <f>-Loads!$L$249*(Loads!$B$18-Loads!$B$19*(Loads!$D$249-Loads!$B$13))</f>
        <v/>
      </c>
      <c r="R249" s="3">
        <f>Loads!$D$249*Loads!$Q$249-Loads!$E$249*Loads!$P$249</f>
        <v/>
      </c>
      <c r="S249" s="3">
        <f>IF(AND(Loads!$A$249=1,Loads!$B$26=31),-Loads!$B$24,0)</f>
        <v/>
      </c>
      <c r="T249" s="3">
        <f>IF(AND(Loads!$A$249=1,Loads!$B$27=31),Loads!$B$25,0)</f>
        <v/>
      </c>
      <c r="U249" s="3">
        <f>Loads!$D$249*Loads!$S$249-Loads!$E$249*Loads!$T$249</f>
        <v/>
      </c>
      <c r="V249" s="3">
        <f>IF(Loads!$A$249=1,SUMIFS(Loads!$P$153:$P$212,Inputs!$C$224:$C$283,Loads!$B$249)-SUMIFS(Loads!$P$153:$P$212,Inputs!$D$224:$D$283,Loads!$B$249),0)</f>
        <v/>
      </c>
      <c r="W249" s="3">
        <f>IF(Loads!$A$249=1,SUMIFS(Loads!$Q$153:$Q$212,Inputs!$C$224:$C$283,Loads!$B$249)-SUMIFS(Loads!$Q$153:$Q$212,Inputs!$D$224:$D$283,Loads!$B$249),0)</f>
        <v/>
      </c>
      <c r="X249" s="3">
        <f>Loads!$D$249*Loads!$W$249-Loads!$E$249*Loads!$V$249</f>
        <v/>
      </c>
      <c r="Y249" s="3">
        <f>IF(Loads!$A$249=1,SUMIFS(Loads!$R$153:$R$212,Inputs!$C$224:$C$283,Loads!$B$249)-SUMIFS(Loads!$R$153:$R$212,Inputs!$D$224:$D$283,Loads!$B$249),0)</f>
        <v/>
      </c>
      <c r="Z249" s="3">
        <f>IF(Loads!$A$249=1,SUMIFS(Loads!$S$153:$S$212,Inputs!$C$224:$C$283,Loads!$B$249)-SUMIFS(Loads!$S$153:$S$212,Inputs!$D$224:$D$283,Loads!$B$249),0)</f>
        <v/>
      </c>
      <c r="AA249" s="3">
        <f>Loads!$D$249*Loads!$Z$249-Loads!$E$249*Loads!$Y$249</f>
        <v/>
      </c>
      <c r="AB249" s="3">
        <f>Loads!$I$249+Loads!$M$249+Loads!$P$249+Loads!$V$249+Loads!$T$249</f>
        <v/>
      </c>
      <c r="AC249" s="3">
        <f>Loads!$J$249+Loads!$N$249+Loads!$Q$249+Loads!$W$249+Loads!$S$249</f>
        <v/>
      </c>
      <c r="AD249" s="3">
        <f>Loads!$K$249+Loads!$O$249+Loads!$R$249+Loads!$X$249+Loads!$U$249</f>
        <v/>
      </c>
    </row>
    <row r="250">
      <c r="A250" s="3">
        <f>Inputs!$A$169</f>
        <v/>
      </c>
      <c r="B250" s="3">
        <f>Geometry!$B$89</f>
        <v/>
      </c>
      <c r="C250" s="3">
        <f>IF(Loads!$A$250=1,Inputs!$C$169&amp;"","")</f>
        <v/>
      </c>
      <c r="D250" s="3">
        <f>Geometry!$K$89</f>
        <v/>
      </c>
      <c r="E250" s="3">
        <f>Geometry!$L$89</f>
        <v/>
      </c>
      <c r="F250" s="3">
        <f>IF(Loads!$A$250=1,SUMIFS(Loads!$V$153:$V$212,Inputs!$C$224:$C$283,Loads!$B$250)+SUMIFS(Loads!$V$153:$V$212,Inputs!$D$224:$D$283,Loads!$B$250),0)</f>
        <v/>
      </c>
      <c r="G250" s="3">
        <f>IF(Loads!$A$250=1,SUMIFS(Loads!$K$139:$K$146,Loads!$I$139:$I$146,Loads!$B$250),0)</f>
        <v/>
      </c>
      <c r="H250" s="3">
        <f>Loads!$F$250+Loads!$G$250</f>
        <v/>
      </c>
      <c r="I250" s="3">
        <f>Loads!$H$250*Loads!$B$15+(-Loads!$H$250*(Loads!$B$17+Loads!$B$19*(Loads!$E$250-Loads!$B$14)))</f>
        <v/>
      </c>
      <c r="J250" s="3">
        <f>Loads!$H$250*Loads!$B$16+(-Loads!$H$250*(Loads!$B$18-Loads!$B$19*(Loads!$D$250-Loads!$B$13)))</f>
        <v/>
      </c>
      <c r="K250" s="3">
        <f>Loads!$D$250*Loads!$J$250-Loads!$E$250*Loads!$I$250</f>
        <v/>
      </c>
      <c r="L250" s="3">
        <f>IF(Loads!$A$250=1,SUMIFS(Loads!$L$139:$L$146,Inputs!$D$304:$D$311,Loads!$B$250),0)</f>
        <v/>
      </c>
      <c r="M250" s="3">
        <f>Loads!$L$250*Loads!$B$15</f>
        <v/>
      </c>
      <c r="N250" s="3">
        <f>Loads!$L$250*Loads!$B$16</f>
        <v/>
      </c>
      <c r="O250" s="3">
        <f>Loads!$D$250*Loads!$N$250-Loads!$E$250*Loads!$M$250</f>
        <v/>
      </c>
      <c r="P250" s="3">
        <f>-Loads!$L$250*(Loads!$B$17+Loads!$B$19*(Loads!$E$250-Loads!$B$14))</f>
        <v/>
      </c>
      <c r="Q250" s="3">
        <f>-Loads!$L$250*(Loads!$B$18-Loads!$B$19*(Loads!$D$250-Loads!$B$13))</f>
        <v/>
      </c>
      <c r="R250" s="3">
        <f>Loads!$D$250*Loads!$Q$250-Loads!$E$250*Loads!$P$250</f>
        <v/>
      </c>
      <c r="S250" s="3">
        <f>IF(AND(Loads!$A$250=1,Loads!$B$26=32),-Loads!$B$24,0)</f>
        <v/>
      </c>
      <c r="T250" s="3">
        <f>IF(AND(Loads!$A$250=1,Loads!$B$27=32),Loads!$B$25,0)</f>
        <v/>
      </c>
      <c r="U250" s="3">
        <f>Loads!$D$250*Loads!$S$250-Loads!$E$250*Loads!$T$250</f>
        <v/>
      </c>
      <c r="V250" s="3">
        <f>IF(Loads!$A$250=1,SUMIFS(Loads!$P$153:$P$212,Inputs!$C$224:$C$283,Loads!$B$250)-SUMIFS(Loads!$P$153:$P$212,Inputs!$D$224:$D$283,Loads!$B$250),0)</f>
        <v/>
      </c>
      <c r="W250" s="3">
        <f>IF(Loads!$A$250=1,SUMIFS(Loads!$Q$153:$Q$212,Inputs!$C$224:$C$283,Loads!$B$250)-SUMIFS(Loads!$Q$153:$Q$212,Inputs!$D$224:$D$283,Loads!$B$250),0)</f>
        <v/>
      </c>
      <c r="X250" s="3">
        <f>Loads!$D$250*Loads!$W$250-Loads!$E$250*Loads!$V$250</f>
        <v/>
      </c>
      <c r="Y250" s="3">
        <f>IF(Loads!$A$250=1,SUMIFS(Loads!$R$153:$R$212,Inputs!$C$224:$C$283,Loads!$B$250)-SUMIFS(Loads!$R$153:$R$212,Inputs!$D$224:$D$283,Loads!$B$250),0)</f>
        <v/>
      </c>
      <c r="Z250" s="3">
        <f>IF(Loads!$A$250=1,SUMIFS(Loads!$S$153:$S$212,Inputs!$C$224:$C$283,Loads!$B$250)-SUMIFS(Loads!$S$153:$S$212,Inputs!$D$224:$D$283,Loads!$B$250),0)</f>
        <v/>
      </c>
      <c r="AA250" s="3">
        <f>Loads!$D$250*Loads!$Z$250-Loads!$E$250*Loads!$Y$250</f>
        <v/>
      </c>
      <c r="AB250" s="3">
        <f>Loads!$I$250+Loads!$M$250+Loads!$P$250+Loads!$V$250+Loads!$T$250</f>
        <v/>
      </c>
      <c r="AC250" s="3">
        <f>Loads!$J$250+Loads!$N$250+Loads!$Q$250+Loads!$W$250+Loads!$S$250</f>
        <v/>
      </c>
      <c r="AD250" s="3">
        <f>Loads!$K$250+Loads!$O$250+Loads!$R$250+Loads!$X$250+Loads!$U$250</f>
        <v/>
      </c>
    </row>
    <row r="251">
      <c r="A251" s="3">
        <f>Inputs!$A$170</f>
        <v/>
      </c>
      <c r="B251" s="3">
        <f>Geometry!$B$90</f>
        <v/>
      </c>
      <c r="C251" s="3">
        <f>IF(Loads!$A$251=1,Inputs!$C$170&amp;"","")</f>
        <v/>
      </c>
      <c r="D251" s="3">
        <f>Geometry!$K$90</f>
        <v/>
      </c>
      <c r="E251" s="3">
        <f>Geometry!$L$90</f>
        <v/>
      </c>
      <c r="F251" s="3">
        <f>IF(Loads!$A$251=1,SUMIFS(Loads!$V$153:$V$212,Inputs!$C$224:$C$283,Loads!$B$251)+SUMIFS(Loads!$V$153:$V$212,Inputs!$D$224:$D$283,Loads!$B$251),0)</f>
        <v/>
      </c>
      <c r="G251" s="3">
        <f>IF(Loads!$A$251=1,SUMIFS(Loads!$K$139:$K$146,Loads!$I$139:$I$146,Loads!$B$251),0)</f>
        <v/>
      </c>
      <c r="H251" s="3">
        <f>Loads!$F$251+Loads!$G$251</f>
        <v/>
      </c>
      <c r="I251" s="3">
        <f>Loads!$H$251*Loads!$B$15+(-Loads!$H$251*(Loads!$B$17+Loads!$B$19*(Loads!$E$251-Loads!$B$14)))</f>
        <v/>
      </c>
      <c r="J251" s="3">
        <f>Loads!$H$251*Loads!$B$16+(-Loads!$H$251*(Loads!$B$18-Loads!$B$19*(Loads!$D$251-Loads!$B$13)))</f>
        <v/>
      </c>
      <c r="K251" s="3">
        <f>Loads!$D$251*Loads!$J$251-Loads!$E$251*Loads!$I$251</f>
        <v/>
      </c>
      <c r="L251" s="3">
        <f>IF(Loads!$A$251=1,SUMIFS(Loads!$L$139:$L$146,Inputs!$D$304:$D$311,Loads!$B$251),0)</f>
        <v/>
      </c>
      <c r="M251" s="3">
        <f>Loads!$L$251*Loads!$B$15</f>
        <v/>
      </c>
      <c r="N251" s="3">
        <f>Loads!$L$251*Loads!$B$16</f>
        <v/>
      </c>
      <c r="O251" s="3">
        <f>Loads!$D$251*Loads!$N$251-Loads!$E$251*Loads!$M$251</f>
        <v/>
      </c>
      <c r="P251" s="3">
        <f>-Loads!$L$251*(Loads!$B$17+Loads!$B$19*(Loads!$E$251-Loads!$B$14))</f>
        <v/>
      </c>
      <c r="Q251" s="3">
        <f>-Loads!$L$251*(Loads!$B$18-Loads!$B$19*(Loads!$D$251-Loads!$B$13))</f>
        <v/>
      </c>
      <c r="R251" s="3">
        <f>Loads!$D$251*Loads!$Q$251-Loads!$E$251*Loads!$P$251</f>
        <v/>
      </c>
      <c r="S251" s="3">
        <f>IF(AND(Loads!$A$251=1,Loads!$B$26=33),-Loads!$B$24,0)</f>
        <v/>
      </c>
      <c r="T251" s="3">
        <f>IF(AND(Loads!$A$251=1,Loads!$B$27=33),Loads!$B$25,0)</f>
        <v/>
      </c>
      <c r="U251" s="3">
        <f>Loads!$D$251*Loads!$S$251-Loads!$E$251*Loads!$T$251</f>
        <v/>
      </c>
      <c r="V251" s="3">
        <f>IF(Loads!$A$251=1,SUMIFS(Loads!$P$153:$P$212,Inputs!$C$224:$C$283,Loads!$B$251)-SUMIFS(Loads!$P$153:$P$212,Inputs!$D$224:$D$283,Loads!$B$251),0)</f>
        <v/>
      </c>
      <c r="W251" s="3">
        <f>IF(Loads!$A$251=1,SUMIFS(Loads!$Q$153:$Q$212,Inputs!$C$224:$C$283,Loads!$B$251)-SUMIFS(Loads!$Q$153:$Q$212,Inputs!$D$224:$D$283,Loads!$B$251),0)</f>
        <v/>
      </c>
      <c r="X251" s="3">
        <f>Loads!$D$251*Loads!$W$251-Loads!$E$251*Loads!$V$251</f>
        <v/>
      </c>
      <c r="Y251" s="3">
        <f>IF(Loads!$A$251=1,SUMIFS(Loads!$R$153:$R$212,Inputs!$C$224:$C$283,Loads!$B$251)-SUMIFS(Loads!$R$153:$R$212,Inputs!$D$224:$D$283,Loads!$B$251),0)</f>
        <v/>
      </c>
      <c r="Z251" s="3">
        <f>IF(Loads!$A$251=1,SUMIFS(Loads!$S$153:$S$212,Inputs!$C$224:$C$283,Loads!$B$251)-SUMIFS(Loads!$S$153:$S$212,Inputs!$D$224:$D$283,Loads!$B$251),0)</f>
        <v/>
      </c>
      <c r="AA251" s="3">
        <f>Loads!$D$251*Loads!$Z$251-Loads!$E$251*Loads!$Y$251</f>
        <v/>
      </c>
      <c r="AB251" s="3">
        <f>Loads!$I$251+Loads!$M$251+Loads!$P$251+Loads!$V$251+Loads!$T$251</f>
        <v/>
      </c>
      <c r="AC251" s="3">
        <f>Loads!$J$251+Loads!$N$251+Loads!$Q$251+Loads!$W$251+Loads!$S$251</f>
        <v/>
      </c>
      <c r="AD251" s="3">
        <f>Loads!$K$251+Loads!$O$251+Loads!$R$251+Loads!$X$251+Loads!$U$251</f>
        <v/>
      </c>
    </row>
    <row r="252">
      <c r="A252" s="3">
        <f>Inputs!$A$171</f>
        <v/>
      </c>
      <c r="B252" s="3">
        <f>Geometry!$B$91</f>
        <v/>
      </c>
      <c r="C252" s="3">
        <f>IF(Loads!$A$252=1,Inputs!$C$171&amp;"","")</f>
        <v/>
      </c>
      <c r="D252" s="3">
        <f>Geometry!$K$91</f>
        <v/>
      </c>
      <c r="E252" s="3">
        <f>Geometry!$L$91</f>
        <v/>
      </c>
      <c r="F252" s="3">
        <f>IF(Loads!$A$252=1,SUMIFS(Loads!$V$153:$V$212,Inputs!$C$224:$C$283,Loads!$B$252)+SUMIFS(Loads!$V$153:$V$212,Inputs!$D$224:$D$283,Loads!$B$252),0)</f>
        <v/>
      </c>
      <c r="G252" s="3">
        <f>IF(Loads!$A$252=1,SUMIFS(Loads!$K$139:$K$146,Loads!$I$139:$I$146,Loads!$B$252),0)</f>
        <v/>
      </c>
      <c r="H252" s="3">
        <f>Loads!$F$252+Loads!$G$252</f>
        <v/>
      </c>
      <c r="I252" s="3">
        <f>Loads!$H$252*Loads!$B$15+(-Loads!$H$252*(Loads!$B$17+Loads!$B$19*(Loads!$E$252-Loads!$B$14)))</f>
        <v/>
      </c>
      <c r="J252" s="3">
        <f>Loads!$H$252*Loads!$B$16+(-Loads!$H$252*(Loads!$B$18-Loads!$B$19*(Loads!$D$252-Loads!$B$13)))</f>
        <v/>
      </c>
      <c r="K252" s="3">
        <f>Loads!$D$252*Loads!$J$252-Loads!$E$252*Loads!$I$252</f>
        <v/>
      </c>
      <c r="L252" s="3">
        <f>IF(Loads!$A$252=1,SUMIFS(Loads!$L$139:$L$146,Inputs!$D$304:$D$311,Loads!$B$252),0)</f>
        <v/>
      </c>
      <c r="M252" s="3">
        <f>Loads!$L$252*Loads!$B$15</f>
        <v/>
      </c>
      <c r="N252" s="3">
        <f>Loads!$L$252*Loads!$B$16</f>
        <v/>
      </c>
      <c r="O252" s="3">
        <f>Loads!$D$252*Loads!$N$252-Loads!$E$252*Loads!$M$252</f>
        <v/>
      </c>
      <c r="P252" s="3">
        <f>-Loads!$L$252*(Loads!$B$17+Loads!$B$19*(Loads!$E$252-Loads!$B$14))</f>
        <v/>
      </c>
      <c r="Q252" s="3">
        <f>-Loads!$L$252*(Loads!$B$18-Loads!$B$19*(Loads!$D$252-Loads!$B$13))</f>
        <v/>
      </c>
      <c r="R252" s="3">
        <f>Loads!$D$252*Loads!$Q$252-Loads!$E$252*Loads!$P$252</f>
        <v/>
      </c>
      <c r="S252" s="3">
        <f>IF(AND(Loads!$A$252=1,Loads!$B$26=34),-Loads!$B$24,0)</f>
        <v/>
      </c>
      <c r="T252" s="3">
        <f>IF(AND(Loads!$A$252=1,Loads!$B$27=34),Loads!$B$25,0)</f>
        <v/>
      </c>
      <c r="U252" s="3">
        <f>Loads!$D$252*Loads!$S$252-Loads!$E$252*Loads!$T$252</f>
        <v/>
      </c>
      <c r="V252" s="3">
        <f>IF(Loads!$A$252=1,SUMIFS(Loads!$P$153:$P$212,Inputs!$C$224:$C$283,Loads!$B$252)-SUMIFS(Loads!$P$153:$P$212,Inputs!$D$224:$D$283,Loads!$B$252),0)</f>
        <v/>
      </c>
      <c r="W252" s="3">
        <f>IF(Loads!$A$252=1,SUMIFS(Loads!$Q$153:$Q$212,Inputs!$C$224:$C$283,Loads!$B$252)-SUMIFS(Loads!$Q$153:$Q$212,Inputs!$D$224:$D$283,Loads!$B$252),0)</f>
        <v/>
      </c>
      <c r="X252" s="3">
        <f>Loads!$D$252*Loads!$W$252-Loads!$E$252*Loads!$V$252</f>
        <v/>
      </c>
      <c r="Y252" s="3">
        <f>IF(Loads!$A$252=1,SUMIFS(Loads!$R$153:$R$212,Inputs!$C$224:$C$283,Loads!$B$252)-SUMIFS(Loads!$R$153:$R$212,Inputs!$D$224:$D$283,Loads!$B$252),0)</f>
        <v/>
      </c>
      <c r="Z252" s="3">
        <f>IF(Loads!$A$252=1,SUMIFS(Loads!$S$153:$S$212,Inputs!$C$224:$C$283,Loads!$B$252)-SUMIFS(Loads!$S$153:$S$212,Inputs!$D$224:$D$283,Loads!$B$252),0)</f>
        <v/>
      </c>
      <c r="AA252" s="3">
        <f>Loads!$D$252*Loads!$Z$252-Loads!$E$252*Loads!$Y$252</f>
        <v/>
      </c>
      <c r="AB252" s="3">
        <f>Loads!$I$252+Loads!$M$252+Loads!$P$252+Loads!$V$252+Loads!$T$252</f>
        <v/>
      </c>
      <c r="AC252" s="3">
        <f>Loads!$J$252+Loads!$N$252+Loads!$Q$252+Loads!$W$252+Loads!$S$252</f>
        <v/>
      </c>
      <c r="AD252" s="3">
        <f>Loads!$K$252+Loads!$O$252+Loads!$R$252+Loads!$X$252+Loads!$U$252</f>
        <v/>
      </c>
    </row>
    <row r="253">
      <c r="A253" s="3">
        <f>Inputs!$A$172</f>
        <v/>
      </c>
      <c r="B253" s="3">
        <f>Geometry!$B$92</f>
        <v/>
      </c>
      <c r="C253" s="3">
        <f>IF(Loads!$A$253=1,Inputs!$C$172&amp;"","")</f>
        <v/>
      </c>
      <c r="D253" s="3">
        <f>Geometry!$K$92</f>
        <v/>
      </c>
      <c r="E253" s="3">
        <f>Geometry!$L$92</f>
        <v/>
      </c>
      <c r="F253" s="3">
        <f>IF(Loads!$A$253=1,SUMIFS(Loads!$V$153:$V$212,Inputs!$C$224:$C$283,Loads!$B$253)+SUMIFS(Loads!$V$153:$V$212,Inputs!$D$224:$D$283,Loads!$B$253),0)</f>
        <v/>
      </c>
      <c r="G253" s="3">
        <f>IF(Loads!$A$253=1,SUMIFS(Loads!$K$139:$K$146,Loads!$I$139:$I$146,Loads!$B$253),0)</f>
        <v/>
      </c>
      <c r="H253" s="3">
        <f>Loads!$F$253+Loads!$G$253</f>
        <v/>
      </c>
      <c r="I253" s="3">
        <f>Loads!$H$253*Loads!$B$15+(-Loads!$H$253*(Loads!$B$17+Loads!$B$19*(Loads!$E$253-Loads!$B$14)))</f>
        <v/>
      </c>
      <c r="J253" s="3">
        <f>Loads!$H$253*Loads!$B$16+(-Loads!$H$253*(Loads!$B$18-Loads!$B$19*(Loads!$D$253-Loads!$B$13)))</f>
        <v/>
      </c>
      <c r="K253" s="3">
        <f>Loads!$D$253*Loads!$J$253-Loads!$E$253*Loads!$I$253</f>
        <v/>
      </c>
      <c r="L253" s="3">
        <f>IF(Loads!$A$253=1,SUMIFS(Loads!$L$139:$L$146,Inputs!$D$304:$D$311,Loads!$B$253),0)</f>
        <v/>
      </c>
      <c r="M253" s="3">
        <f>Loads!$L$253*Loads!$B$15</f>
        <v/>
      </c>
      <c r="N253" s="3">
        <f>Loads!$L$253*Loads!$B$16</f>
        <v/>
      </c>
      <c r="O253" s="3">
        <f>Loads!$D$253*Loads!$N$253-Loads!$E$253*Loads!$M$253</f>
        <v/>
      </c>
      <c r="P253" s="3">
        <f>-Loads!$L$253*(Loads!$B$17+Loads!$B$19*(Loads!$E$253-Loads!$B$14))</f>
        <v/>
      </c>
      <c r="Q253" s="3">
        <f>-Loads!$L$253*(Loads!$B$18-Loads!$B$19*(Loads!$D$253-Loads!$B$13))</f>
        <v/>
      </c>
      <c r="R253" s="3">
        <f>Loads!$D$253*Loads!$Q$253-Loads!$E$253*Loads!$P$253</f>
        <v/>
      </c>
      <c r="S253" s="3">
        <f>IF(AND(Loads!$A$253=1,Loads!$B$26=35),-Loads!$B$24,0)</f>
        <v/>
      </c>
      <c r="T253" s="3">
        <f>IF(AND(Loads!$A$253=1,Loads!$B$27=35),Loads!$B$25,0)</f>
        <v/>
      </c>
      <c r="U253" s="3">
        <f>Loads!$D$253*Loads!$S$253-Loads!$E$253*Loads!$T$253</f>
        <v/>
      </c>
      <c r="V253" s="3">
        <f>IF(Loads!$A$253=1,SUMIFS(Loads!$P$153:$P$212,Inputs!$C$224:$C$283,Loads!$B$253)-SUMIFS(Loads!$P$153:$P$212,Inputs!$D$224:$D$283,Loads!$B$253),0)</f>
        <v/>
      </c>
      <c r="W253" s="3">
        <f>IF(Loads!$A$253=1,SUMIFS(Loads!$Q$153:$Q$212,Inputs!$C$224:$C$283,Loads!$B$253)-SUMIFS(Loads!$Q$153:$Q$212,Inputs!$D$224:$D$283,Loads!$B$253),0)</f>
        <v/>
      </c>
      <c r="X253" s="3">
        <f>Loads!$D$253*Loads!$W$253-Loads!$E$253*Loads!$V$253</f>
        <v/>
      </c>
      <c r="Y253" s="3">
        <f>IF(Loads!$A$253=1,SUMIFS(Loads!$R$153:$R$212,Inputs!$C$224:$C$283,Loads!$B$253)-SUMIFS(Loads!$R$153:$R$212,Inputs!$D$224:$D$283,Loads!$B$253),0)</f>
        <v/>
      </c>
      <c r="Z253" s="3">
        <f>IF(Loads!$A$253=1,SUMIFS(Loads!$S$153:$S$212,Inputs!$C$224:$C$283,Loads!$B$253)-SUMIFS(Loads!$S$153:$S$212,Inputs!$D$224:$D$283,Loads!$B$253),0)</f>
        <v/>
      </c>
      <c r="AA253" s="3">
        <f>Loads!$D$253*Loads!$Z$253-Loads!$E$253*Loads!$Y$253</f>
        <v/>
      </c>
      <c r="AB253" s="3">
        <f>Loads!$I$253+Loads!$M$253+Loads!$P$253+Loads!$V$253+Loads!$T$253</f>
        <v/>
      </c>
      <c r="AC253" s="3">
        <f>Loads!$J$253+Loads!$N$253+Loads!$Q$253+Loads!$W$253+Loads!$S$253</f>
        <v/>
      </c>
      <c r="AD253" s="3">
        <f>Loads!$K$253+Loads!$O$253+Loads!$R$253+Loads!$X$253+Loads!$U$253</f>
        <v/>
      </c>
    </row>
    <row r="254">
      <c r="A254" s="3">
        <f>Inputs!$A$173</f>
        <v/>
      </c>
      <c r="B254" s="3">
        <f>Geometry!$B$93</f>
        <v/>
      </c>
      <c r="C254" s="3">
        <f>IF(Loads!$A$254=1,Inputs!$C$173&amp;"","")</f>
        <v/>
      </c>
      <c r="D254" s="3">
        <f>Geometry!$K$93</f>
        <v/>
      </c>
      <c r="E254" s="3">
        <f>Geometry!$L$93</f>
        <v/>
      </c>
      <c r="F254" s="3">
        <f>IF(Loads!$A$254=1,SUMIFS(Loads!$V$153:$V$212,Inputs!$C$224:$C$283,Loads!$B$254)+SUMIFS(Loads!$V$153:$V$212,Inputs!$D$224:$D$283,Loads!$B$254),0)</f>
        <v/>
      </c>
      <c r="G254" s="3">
        <f>IF(Loads!$A$254=1,SUMIFS(Loads!$K$139:$K$146,Loads!$I$139:$I$146,Loads!$B$254),0)</f>
        <v/>
      </c>
      <c r="H254" s="3">
        <f>Loads!$F$254+Loads!$G$254</f>
        <v/>
      </c>
      <c r="I254" s="3">
        <f>Loads!$H$254*Loads!$B$15+(-Loads!$H$254*(Loads!$B$17+Loads!$B$19*(Loads!$E$254-Loads!$B$14)))</f>
        <v/>
      </c>
      <c r="J254" s="3">
        <f>Loads!$H$254*Loads!$B$16+(-Loads!$H$254*(Loads!$B$18-Loads!$B$19*(Loads!$D$254-Loads!$B$13)))</f>
        <v/>
      </c>
      <c r="K254" s="3">
        <f>Loads!$D$254*Loads!$J$254-Loads!$E$254*Loads!$I$254</f>
        <v/>
      </c>
      <c r="L254" s="3">
        <f>IF(Loads!$A$254=1,SUMIFS(Loads!$L$139:$L$146,Inputs!$D$304:$D$311,Loads!$B$254),0)</f>
        <v/>
      </c>
      <c r="M254" s="3">
        <f>Loads!$L$254*Loads!$B$15</f>
        <v/>
      </c>
      <c r="N254" s="3">
        <f>Loads!$L$254*Loads!$B$16</f>
        <v/>
      </c>
      <c r="O254" s="3">
        <f>Loads!$D$254*Loads!$N$254-Loads!$E$254*Loads!$M$254</f>
        <v/>
      </c>
      <c r="P254" s="3">
        <f>-Loads!$L$254*(Loads!$B$17+Loads!$B$19*(Loads!$E$254-Loads!$B$14))</f>
        <v/>
      </c>
      <c r="Q254" s="3">
        <f>-Loads!$L$254*(Loads!$B$18-Loads!$B$19*(Loads!$D$254-Loads!$B$13))</f>
        <v/>
      </c>
      <c r="R254" s="3">
        <f>Loads!$D$254*Loads!$Q$254-Loads!$E$254*Loads!$P$254</f>
        <v/>
      </c>
      <c r="S254" s="3">
        <f>IF(AND(Loads!$A$254=1,Loads!$B$26=36),-Loads!$B$24,0)</f>
        <v/>
      </c>
      <c r="T254" s="3">
        <f>IF(AND(Loads!$A$254=1,Loads!$B$27=36),Loads!$B$25,0)</f>
        <v/>
      </c>
      <c r="U254" s="3">
        <f>Loads!$D$254*Loads!$S$254-Loads!$E$254*Loads!$T$254</f>
        <v/>
      </c>
      <c r="V254" s="3">
        <f>IF(Loads!$A$254=1,SUMIFS(Loads!$P$153:$P$212,Inputs!$C$224:$C$283,Loads!$B$254)-SUMIFS(Loads!$P$153:$P$212,Inputs!$D$224:$D$283,Loads!$B$254),0)</f>
        <v/>
      </c>
      <c r="W254" s="3">
        <f>IF(Loads!$A$254=1,SUMIFS(Loads!$Q$153:$Q$212,Inputs!$C$224:$C$283,Loads!$B$254)-SUMIFS(Loads!$Q$153:$Q$212,Inputs!$D$224:$D$283,Loads!$B$254),0)</f>
        <v/>
      </c>
      <c r="X254" s="3">
        <f>Loads!$D$254*Loads!$W$254-Loads!$E$254*Loads!$V$254</f>
        <v/>
      </c>
      <c r="Y254" s="3">
        <f>IF(Loads!$A$254=1,SUMIFS(Loads!$R$153:$R$212,Inputs!$C$224:$C$283,Loads!$B$254)-SUMIFS(Loads!$R$153:$R$212,Inputs!$D$224:$D$283,Loads!$B$254),0)</f>
        <v/>
      </c>
      <c r="Z254" s="3">
        <f>IF(Loads!$A$254=1,SUMIFS(Loads!$S$153:$S$212,Inputs!$C$224:$C$283,Loads!$B$254)-SUMIFS(Loads!$S$153:$S$212,Inputs!$D$224:$D$283,Loads!$B$254),0)</f>
        <v/>
      </c>
      <c r="AA254" s="3">
        <f>Loads!$D$254*Loads!$Z$254-Loads!$E$254*Loads!$Y$254</f>
        <v/>
      </c>
      <c r="AB254" s="3">
        <f>Loads!$I$254+Loads!$M$254+Loads!$P$254+Loads!$V$254+Loads!$T$254</f>
        <v/>
      </c>
      <c r="AC254" s="3">
        <f>Loads!$J$254+Loads!$N$254+Loads!$Q$254+Loads!$W$254+Loads!$S$254</f>
        <v/>
      </c>
      <c r="AD254" s="3">
        <f>Loads!$K$254+Loads!$O$254+Loads!$R$254+Loads!$X$254+Loads!$U$254</f>
        <v/>
      </c>
    </row>
    <row r="255">
      <c r="A255" s="3">
        <f>Inputs!$A$174</f>
        <v/>
      </c>
      <c r="B255" s="3">
        <f>Geometry!$B$94</f>
        <v/>
      </c>
      <c r="C255" s="3">
        <f>IF(Loads!$A$255=1,Inputs!$C$174&amp;"","")</f>
        <v/>
      </c>
      <c r="D255" s="3">
        <f>Geometry!$K$94</f>
        <v/>
      </c>
      <c r="E255" s="3">
        <f>Geometry!$L$94</f>
        <v/>
      </c>
      <c r="F255" s="3">
        <f>IF(Loads!$A$255=1,SUMIFS(Loads!$V$153:$V$212,Inputs!$C$224:$C$283,Loads!$B$255)+SUMIFS(Loads!$V$153:$V$212,Inputs!$D$224:$D$283,Loads!$B$255),0)</f>
        <v/>
      </c>
      <c r="G255" s="3">
        <f>IF(Loads!$A$255=1,SUMIFS(Loads!$K$139:$K$146,Loads!$I$139:$I$146,Loads!$B$255),0)</f>
        <v/>
      </c>
      <c r="H255" s="3">
        <f>Loads!$F$255+Loads!$G$255</f>
        <v/>
      </c>
      <c r="I255" s="3">
        <f>Loads!$H$255*Loads!$B$15+(-Loads!$H$255*(Loads!$B$17+Loads!$B$19*(Loads!$E$255-Loads!$B$14)))</f>
        <v/>
      </c>
      <c r="J255" s="3">
        <f>Loads!$H$255*Loads!$B$16+(-Loads!$H$255*(Loads!$B$18-Loads!$B$19*(Loads!$D$255-Loads!$B$13)))</f>
        <v/>
      </c>
      <c r="K255" s="3">
        <f>Loads!$D$255*Loads!$J$255-Loads!$E$255*Loads!$I$255</f>
        <v/>
      </c>
      <c r="L255" s="3">
        <f>IF(Loads!$A$255=1,SUMIFS(Loads!$L$139:$L$146,Inputs!$D$304:$D$311,Loads!$B$255),0)</f>
        <v/>
      </c>
      <c r="M255" s="3">
        <f>Loads!$L$255*Loads!$B$15</f>
        <v/>
      </c>
      <c r="N255" s="3">
        <f>Loads!$L$255*Loads!$B$16</f>
        <v/>
      </c>
      <c r="O255" s="3">
        <f>Loads!$D$255*Loads!$N$255-Loads!$E$255*Loads!$M$255</f>
        <v/>
      </c>
      <c r="P255" s="3">
        <f>-Loads!$L$255*(Loads!$B$17+Loads!$B$19*(Loads!$E$255-Loads!$B$14))</f>
        <v/>
      </c>
      <c r="Q255" s="3">
        <f>-Loads!$L$255*(Loads!$B$18-Loads!$B$19*(Loads!$D$255-Loads!$B$13))</f>
        <v/>
      </c>
      <c r="R255" s="3">
        <f>Loads!$D$255*Loads!$Q$255-Loads!$E$255*Loads!$P$255</f>
        <v/>
      </c>
      <c r="S255" s="3">
        <f>IF(AND(Loads!$A$255=1,Loads!$B$26=37),-Loads!$B$24,0)</f>
        <v/>
      </c>
      <c r="T255" s="3">
        <f>IF(AND(Loads!$A$255=1,Loads!$B$27=37),Loads!$B$25,0)</f>
        <v/>
      </c>
      <c r="U255" s="3">
        <f>Loads!$D$255*Loads!$S$255-Loads!$E$255*Loads!$T$255</f>
        <v/>
      </c>
      <c r="V255" s="3">
        <f>IF(Loads!$A$255=1,SUMIFS(Loads!$P$153:$P$212,Inputs!$C$224:$C$283,Loads!$B$255)-SUMIFS(Loads!$P$153:$P$212,Inputs!$D$224:$D$283,Loads!$B$255),0)</f>
        <v/>
      </c>
      <c r="W255" s="3">
        <f>IF(Loads!$A$255=1,SUMIFS(Loads!$Q$153:$Q$212,Inputs!$C$224:$C$283,Loads!$B$255)-SUMIFS(Loads!$Q$153:$Q$212,Inputs!$D$224:$D$283,Loads!$B$255),0)</f>
        <v/>
      </c>
      <c r="X255" s="3">
        <f>Loads!$D$255*Loads!$W$255-Loads!$E$255*Loads!$V$255</f>
        <v/>
      </c>
      <c r="Y255" s="3">
        <f>IF(Loads!$A$255=1,SUMIFS(Loads!$R$153:$R$212,Inputs!$C$224:$C$283,Loads!$B$255)-SUMIFS(Loads!$R$153:$R$212,Inputs!$D$224:$D$283,Loads!$B$255),0)</f>
        <v/>
      </c>
      <c r="Z255" s="3">
        <f>IF(Loads!$A$255=1,SUMIFS(Loads!$S$153:$S$212,Inputs!$C$224:$C$283,Loads!$B$255)-SUMIFS(Loads!$S$153:$S$212,Inputs!$D$224:$D$283,Loads!$B$255),0)</f>
        <v/>
      </c>
      <c r="AA255" s="3">
        <f>Loads!$D$255*Loads!$Z$255-Loads!$E$255*Loads!$Y$255</f>
        <v/>
      </c>
      <c r="AB255" s="3">
        <f>Loads!$I$255+Loads!$M$255+Loads!$P$255+Loads!$V$255+Loads!$T$255</f>
        <v/>
      </c>
      <c r="AC255" s="3">
        <f>Loads!$J$255+Loads!$N$255+Loads!$Q$255+Loads!$W$255+Loads!$S$255</f>
        <v/>
      </c>
      <c r="AD255" s="3">
        <f>Loads!$K$255+Loads!$O$255+Loads!$R$255+Loads!$X$255+Loads!$U$255</f>
        <v/>
      </c>
    </row>
    <row r="256">
      <c r="A256" s="3">
        <f>Inputs!$A$175</f>
        <v/>
      </c>
      <c r="B256" s="3">
        <f>Geometry!$B$95</f>
        <v/>
      </c>
      <c r="C256" s="3">
        <f>IF(Loads!$A$256=1,Inputs!$C$175&amp;"","")</f>
        <v/>
      </c>
      <c r="D256" s="3">
        <f>Geometry!$K$95</f>
        <v/>
      </c>
      <c r="E256" s="3">
        <f>Geometry!$L$95</f>
        <v/>
      </c>
      <c r="F256" s="3">
        <f>IF(Loads!$A$256=1,SUMIFS(Loads!$V$153:$V$212,Inputs!$C$224:$C$283,Loads!$B$256)+SUMIFS(Loads!$V$153:$V$212,Inputs!$D$224:$D$283,Loads!$B$256),0)</f>
        <v/>
      </c>
      <c r="G256" s="3">
        <f>IF(Loads!$A$256=1,SUMIFS(Loads!$K$139:$K$146,Loads!$I$139:$I$146,Loads!$B$256),0)</f>
        <v/>
      </c>
      <c r="H256" s="3">
        <f>Loads!$F$256+Loads!$G$256</f>
        <v/>
      </c>
      <c r="I256" s="3">
        <f>Loads!$H$256*Loads!$B$15+(-Loads!$H$256*(Loads!$B$17+Loads!$B$19*(Loads!$E$256-Loads!$B$14)))</f>
        <v/>
      </c>
      <c r="J256" s="3">
        <f>Loads!$H$256*Loads!$B$16+(-Loads!$H$256*(Loads!$B$18-Loads!$B$19*(Loads!$D$256-Loads!$B$13)))</f>
        <v/>
      </c>
      <c r="K256" s="3">
        <f>Loads!$D$256*Loads!$J$256-Loads!$E$256*Loads!$I$256</f>
        <v/>
      </c>
      <c r="L256" s="3">
        <f>IF(Loads!$A$256=1,SUMIFS(Loads!$L$139:$L$146,Inputs!$D$304:$D$311,Loads!$B$256),0)</f>
        <v/>
      </c>
      <c r="M256" s="3">
        <f>Loads!$L$256*Loads!$B$15</f>
        <v/>
      </c>
      <c r="N256" s="3">
        <f>Loads!$L$256*Loads!$B$16</f>
        <v/>
      </c>
      <c r="O256" s="3">
        <f>Loads!$D$256*Loads!$N$256-Loads!$E$256*Loads!$M$256</f>
        <v/>
      </c>
      <c r="P256" s="3">
        <f>-Loads!$L$256*(Loads!$B$17+Loads!$B$19*(Loads!$E$256-Loads!$B$14))</f>
        <v/>
      </c>
      <c r="Q256" s="3">
        <f>-Loads!$L$256*(Loads!$B$18-Loads!$B$19*(Loads!$D$256-Loads!$B$13))</f>
        <v/>
      </c>
      <c r="R256" s="3">
        <f>Loads!$D$256*Loads!$Q$256-Loads!$E$256*Loads!$P$256</f>
        <v/>
      </c>
      <c r="S256" s="3">
        <f>IF(AND(Loads!$A$256=1,Loads!$B$26=38),-Loads!$B$24,0)</f>
        <v/>
      </c>
      <c r="T256" s="3">
        <f>IF(AND(Loads!$A$256=1,Loads!$B$27=38),Loads!$B$25,0)</f>
        <v/>
      </c>
      <c r="U256" s="3">
        <f>Loads!$D$256*Loads!$S$256-Loads!$E$256*Loads!$T$256</f>
        <v/>
      </c>
      <c r="V256" s="3">
        <f>IF(Loads!$A$256=1,SUMIFS(Loads!$P$153:$P$212,Inputs!$C$224:$C$283,Loads!$B$256)-SUMIFS(Loads!$P$153:$P$212,Inputs!$D$224:$D$283,Loads!$B$256),0)</f>
        <v/>
      </c>
      <c r="W256" s="3">
        <f>IF(Loads!$A$256=1,SUMIFS(Loads!$Q$153:$Q$212,Inputs!$C$224:$C$283,Loads!$B$256)-SUMIFS(Loads!$Q$153:$Q$212,Inputs!$D$224:$D$283,Loads!$B$256),0)</f>
        <v/>
      </c>
      <c r="X256" s="3">
        <f>Loads!$D$256*Loads!$W$256-Loads!$E$256*Loads!$V$256</f>
        <v/>
      </c>
      <c r="Y256" s="3">
        <f>IF(Loads!$A$256=1,SUMIFS(Loads!$R$153:$R$212,Inputs!$C$224:$C$283,Loads!$B$256)-SUMIFS(Loads!$R$153:$R$212,Inputs!$D$224:$D$283,Loads!$B$256),0)</f>
        <v/>
      </c>
      <c r="Z256" s="3">
        <f>IF(Loads!$A$256=1,SUMIFS(Loads!$S$153:$S$212,Inputs!$C$224:$C$283,Loads!$B$256)-SUMIFS(Loads!$S$153:$S$212,Inputs!$D$224:$D$283,Loads!$B$256),0)</f>
        <v/>
      </c>
      <c r="AA256" s="3">
        <f>Loads!$D$256*Loads!$Z$256-Loads!$E$256*Loads!$Y$256</f>
        <v/>
      </c>
      <c r="AB256" s="3">
        <f>Loads!$I$256+Loads!$M$256+Loads!$P$256+Loads!$V$256+Loads!$T$256</f>
        <v/>
      </c>
      <c r="AC256" s="3">
        <f>Loads!$J$256+Loads!$N$256+Loads!$Q$256+Loads!$W$256+Loads!$S$256</f>
        <v/>
      </c>
      <c r="AD256" s="3">
        <f>Loads!$K$256+Loads!$O$256+Loads!$R$256+Loads!$X$256+Loads!$U$256</f>
        <v/>
      </c>
    </row>
    <row r="257">
      <c r="A257" s="3">
        <f>Inputs!$A$176</f>
        <v/>
      </c>
      <c r="B257" s="3">
        <f>Geometry!$B$96</f>
        <v/>
      </c>
      <c r="C257" s="3">
        <f>IF(Loads!$A$257=1,Inputs!$C$176&amp;"","")</f>
        <v/>
      </c>
      <c r="D257" s="3">
        <f>Geometry!$K$96</f>
        <v/>
      </c>
      <c r="E257" s="3">
        <f>Geometry!$L$96</f>
        <v/>
      </c>
      <c r="F257" s="3">
        <f>IF(Loads!$A$257=1,SUMIFS(Loads!$V$153:$V$212,Inputs!$C$224:$C$283,Loads!$B$257)+SUMIFS(Loads!$V$153:$V$212,Inputs!$D$224:$D$283,Loads!$B$257),0)</f>
        <v/>
      </c>
      <c r="G257" s="3">
        <f>IF(Loads!$A$257=1,SUMIFS(Loads!$K$139:$K$146,Loads!$I$139:$I$146,Loads!$B$257),0)</f>
        <v/>
      </c>
      <c r="H257" s="3">
        <f>Loads!$F$257+Loads!$G$257</f>
        <v/>
      </c>
      <c r="I257" s="3">
        <f>Loads!$H$257*Loads!$B$15+(-Loads!$H$257*(Loads!$B$17+Loads!$B$19*(Loads!$E$257-Loads!$B$14)))</f>
        <v/>
      </c>
      <c r="J257" s="3">
        <f>Loads!$H$257*Loads!$B$16+(-Loads!$H$257*(Loads!$B$18-Loads!$B$19*(Loads!$D$257-Loads!$B$13)))</f>
        <v/>
      </c>
      <c r="K257" s="3">
        <f>Loads!$D$257*Loads!$J$257-Loads!$E$257*Loads!$I$257</f>
        <v/>
      </c>
      <c r="L257" s="3">
        <f>IF(Loads!$A$257=1,SUMIFS(Loads!$L$139:$L$146,Inputs!$D$304:$D$311,Loads!$B$257),0)</f>
        <v/>
      </c>
      <c r="M257" s="3">
        <f>Loads!$L$257*Loads!$B$15</f>
        <v/>
      </c>
      <c r="N257" s="3">
        <f>Loads!$L$257*Loads!$B$16</f>
        <v/>
      </c>
      <c r="O257" s="3">
        <f>Loads!$D$257*Loads!$N$257-Loads!$E$257*Loads!$M$257</f>
        <v/>
      </c>
      <c r="P257" s="3">
        <f>-Loads!$L$257*(Loads!$B$17+Loads!$B$19*(Loads!$E$257-Loads!$B$14))</f>
        <v/>
      </c>
      <c r="Q257" s="3">
        <f>-Loads!$L$257*(Loads!$B$18-Loads!$B$19*(Loads!$D$257-Loads!$B$13))</f>
        <v/>
      </c>
      <c r="R257" s="3">
        <f>Loads!$D$257*Loads!$Q$257-Loads!$E$257*Loads!$P$257</f>
        <v/>
      </c>
      <c r="S257" s="3">
        <f>IF(AND(Loads!$A$257=1,Loads!$B$26=39),-Loads!$B$24,0)</f>
        <v/>
      </c>
      <c r="T257" s="3">
        <f>IF(AND(Loads!$A$257=1,Loads!$B$27=39),Loads!$B$25,0)</f>
        <v/>
      </c>
      <c r="U257" s="3">
        <f>Loads!$D$257*Loads!$S$257-Loads!$E$257*Loads!$T$257</f>
        <v/>
      </c>
      <c r="V257" s="3">
        <f>IF(Loads!$A$257=1,SUMIFS(Loads!$P$153:$P$212,Inputs!$C$224:$C$283,Loads!$B$257)-SUMIFS(Loads!$P$153:$P$212,Inputs!$D$224:$D$283,Loads!$B$257),0)</f>
        <v/>
      </c>
      <c r="W257" s="3">
        <f>IF(Loads!$A$257=1,SUMIFS(Loads!$Q$153:$Q$212,Inputs!$C$224:$C$283,Loads!$B$257)-SUMIFS(Loads!$Q$153:$Q$212,Inputs!$D$224:$D$283,Loads!$B$257),0)</f>
        <v/>
      </c>
      <c r="X257" s="3">
        <f>Loads!$D$257*Loads!$W$257-Loads!$E$257*Loads!$V$257</f>
        <v/>
      </c>
      <c r="Y257" s="3">
        <f>IF(Loads!$A$257=1,SUMIFS(Loads!$R$153:$R$212,Inputs!$C$224:$C$283,Loads!$B$257)-SUMIFS(Loads!$R$153:$R$212,Inputs!$D$224:$D$283,Loads!$B$257),0)</f>
        <v/>
      </c>
      <c r="Z257" s="3">
        <f>IF(Loads!$A$257=1,SUMIFS(Loads!$S$153:$S$212,Inputs!$C$224:$C$283,Loads!$B$257)-SUMIFS(Loads!$S$153:$S$212,Inputs!$D$224:$D$283,Loads!$B$257),0)</f>
        <v/>
      </c>
      <c r="AA257" s="3">
        <f>Loads!$D$257*Loads!$Z$257-Loads!$E$257*Loads!$Y$257</f>
        <v/>
      </c>
      <c r="AB257" s="3">
        <f>Loads!$I$257+Loads!$M$257+Loads!$P$257+Loads!$V$257+Loads!$T$257</f>
        <v/>
      </c>
      <c r="AC257" s="3">
        <f>Loads!$J$257+Loads!$N$257+Loads!$Q$257+Loads!$W$257+Loads!$S$257</f>
        <v/>
      </c>
      <c r="AD257" s="3">
        <f>Loads!$K$257+Loads!$O$257+Loads!$R$257+Loads!$X$257+Loads!$U$257</f>
        <v/>
      </c>
    </row>
    <row r="258">
      <c r="A258" s="3">
        <f>Inputs!$A$177</f>
        <v/>
      </c>
      <c r="B258" s="3">
        <f>Geometry!$B$97</f>
        <v/>
      </c>
      <c r="C258" s="3">
        <f>IF(Loads!$A$258=1,Inputs!$C$177&amp;"","")</f>
        <v/>
      </c>
      <c r="D258" s="3">
        <f>Geometry!$K$97</f>
        <v/>
      </c>
      <c r="E258" s="3">
        <f>Geometry!$L$97</f>
        <v/>
      </c>
      <c r="F258" s="3">
        <f>IF(Loads!$A$258=1,SUMIFS(Loads!$V$153:$V$212,Inputs!$C$224:$C$283,Loads!$B$258)+SUMIFS(Loads!$V$153:$V$212,Inputs!$D$224:$D$283,Loads!$B$258),0)</f>
        <v/>
      </c>
      <c r="G258" s="3">
        <f>IF(Loads!$A$258=1,SUMIFS(Loads!$K$139:$K$146,Loads!$I$139:$I$146,Loads!$B$258),0)</f>
        <v/>
      </c>
      <c r="H258" s="3">
        <f>Loads!$F$258+Loads!$G$258</f>
        <v/>
      </c>
      <c r="I258" s="3">
        <f>Loads!$H$258*Loads!$B$15+(-Loads!$H$258*(Loads!$B$17+Loads!$B$19*(Loads!$E$258-Loads!$B$14)))</f>
        <v/>
      </c>
      <c r="J258" s="3">
        <f>Loads!$H$258*Loads!$B$16+(-Loads!$H$258*(Loads!$B$18-Loads!$B$19*(Loads!$D$258-Loads!$B$13)))</f>
        <v/>
      </c>
      <c r="K258" s="3">
        <f>Loads!$D$258*Loads!$J$258-Loads!$E$258*Loads!$I$258</f>
        <v/>
      </c>
      <c r="L258" s="3">
        <f>IF(Loads!$A$258=1,SUMIFS(Loads!$L$139:$L$146,Inputs!$D$304:$D$311,Loads!$B$258),0)</f>
        <v/>
      </c>
      <c r="M258" s="3">
        <f>Loads!$L$258*Loads!$B$15</f>
        <v/>
      </c>
      <c r="N258" s="3">
        <f>Loads!$L$258*Loads!$B$16</f>
        <v/>
      </c>
      <c r="O258" s="3">
        <f>Loads!$D$258*Loads!$N$258-Loads!$E$258*Loads!$M$258</f>
        <v/>
      </c>
      <c r="P258" s="3">
        <f>-Loads!$L$258*(Loads!$B$17+Loads!$B$19*(Loads!$E$258-Loads!$B$14))</f>
        <v/>
      </c>
      <c r="Q258" s="3">
        <f>-Loads!$L$258*(Loads!$B$18-Loads!$B$19*(Loads!$D$258-Loads!$B$13))</f>
        <v/>
      </c>
      <c r="R258" s="3">
        <f>Loads!$D$258*Loads!$Q$258-Loads!$E$258*Loads!$P$258</f>
        <v/>
      </c>
      <c r="S258" s="3">
        <f>IF(AND(Loads!$A$258=1,Loads!$B$26=40),-Loads!$B$24,0)</f>
        <v/>
      </c>
      <c r="T258" s="3">
        <f>IF(AND(Loads!$A$258=1,Loads!$B$27=40),Loads!$B$25,0)</f>
        <v/>
      </c>
      <c r="U258" s="3">
        <f>Loads!$D$258*Loads!$S$258-Loads!$E$258*Loads!$T$258</f>
        <v/>
      </c>
      <c r="V258" s="3">
        <f>IF(Loads!$A$258=1,SUMIFS(Loads!$P$153:$P$212,Inputs!$C$224:$C$283,Loads!$B$258)-SUMIFS(Loads!$P$153:$P$212,Inputs!$D$224:$D$283,Loads!$B$258),0)</f>
        <v/>
      </c>
      <c r="W258" s="3">
        <f>IF(Loads!$A$258=1,SUMIFS(Loads!$Q$153:$Q$212,Inputs!$C$224:$C$283,Loads!$B$258)-SUMIFS(Loads!$Q$153:$Q$212,Inputs!$D$224:$D$283,Loads!$B$258),0)</f>
        <v/>
      </c>
      <c r="X258" s="3">
        <f>Loads!$D$258*Loads!$W$258-Loads!$E$258*Loads!$V$258</f>
        <v/>
      </c>
      <c r="Y258" s="3">
        <f>IF(Loads!$A$258=1,SUMIFS(Loads!$R$153:$R$212,Inputs!$C$224:$C$283,Loads!$B$258)-SUMIFS(Loads!$R$153:$R$212,Inputs!$D$224:$D$283,Loads!$B$258),0)</f>
        <v/>
      </c>
      <c r="Z258" s="3">
        <f>IF(Loads!$A$258=1,SUMIFS(Loads!$S$153:$S$212,Inputs!$C$224:$C$283,Loads!$B$258)-SUMIFS(Loads!$S$153:$S$212,Inputs!$D$224:$D$283,Loads!$B$258),0)</f>
        <v/>
      </c>
      <c r="AA258" s="3">
        <f>Loads!$D$258*Loads!$Z$258-Loads!$E$258*Loads!$Y$258</f>
        <v/>
      </c>
      <c r="AB258" s="3">
        <f>Loads!$I$258+Loads!$M$258+Loads!$P$258+Loads!$V$258+Loads!$T$258</f>
        <v/>
      </c>
      <c r="AC258" s="3">
        <f>Loads!$J$258+Loads!$N$258+Loads!$Q$258+Loads!$W$258+Loads!$S$258</f>
        <v/>
      </c>
      <c r="AD258" s="3">
        <f>Loads!$K$258+Loads!$O$258+Loads!$R$258+Loads!$X$258+Loads!$U$258</f>
        <v/>
      </c>
    </row>
    <row r="259">
      <c r="A259" s="3">
        <f>Inputs!$A$178</f>
        <v/>
      </c>
      <c r="B259" s="3">
        <f>Geometry!$B$98</f>
        <v/>
      </c>
      <c r="C259" s="3">
        <f>IF(Loads!$A$259=1,Inputs!$C$178&amp;"","")</f>
        <v/>
      </c>
      <c r="D259" s="3">
        <f>Geometry!$K$98</f>
        <v/>
      </c>
      <c r="E259" s="3">
        <f>Geometry!$L$98</f>
        <v/>
      </c>
      <c r="F259" s="3">
        <f>IF(Loads!$A$259=1,SUMIFS(Loads!$V$153:$V$212,Inputs!$C$224:$C$283,Loads!$B$259)+SUMIFS(Loads!$V$153:$V$212,Inputs!$D$224:$D$283,Loads!$B$259),0)</f>
        <v/>
      </c>
      <c r="G259" s="3">
        <f>IF(Loads!$A$259=1,SUMIFS(Loads!$K$139:$K$146,Loads!$I$139:$I$146,Loads!$B$259),0)</f>
        <v/>
      </c>
      <c r="H259" s="3">
        <f>Loads!$F$259+Loads!$G$259</f>
        <v/>
      </c>
      <c r="I259" s="3">
        <f>Loads!$H$259*Loads!$B$15+(-Loads!$H$259*(Loads!$B$17+Loads!$B$19*(Loads!$E$259-Loads!$B$14)))</f>
        <v/>
      </c>
      <c r="J259" s="3">
        <f>Loads!$H$259*Loads!$B$16+(-Loads!$H$259*(Loads!$B$18-Loads!$B$19*(Loads!$D$259-Loads!$B$13)))</f>
        <v/>
      </c>
      <c r="K259" s="3">
        <f>Loads!$D$259*Loads!$J$259-Loads!$E$259*Loads!$I$259</f>
        <v/>
      </c>
      <c r="L259" s="3">
        <f>IF(Loads!$A$259=1,SUMIFS(Loads!$L$139:$L$146,Inputs!$D$304:$D$311,Loads!$B$259),0)</f>
        <v/>
      </c>
      <c r="M259" s="3">
        <f>Loads!$L$259*Loads!$B$15</f>
        <v/>
      </c>
      <c r="N259" s="3">
        <f>Loads!$L$259*Loads!$B$16</f>
        <v/>
      </c>
      <c r="O259" s="3">
        <f>Loads!$D$259*Loads!$N$259-Loads!$E$259*Loads!$M$259</f>
        <v/>
      </c>
      <c r="P259" s="3">
        <f>-Loads!$L$259*(Loads!$B$17+Loads!$B$19*(Loads!$E$259-Loads!$B$14))</f>
        <v/>
      </c>
      <c r="Q259" s="3">
        <f>-Loads!$L$259*(Loads!$B$18-Loads!$B$19*(Loads!$D$259-Loads!$B$13))</f>
        <v/>
      </c>
      <c r="R259" s="3">
        <f>Loads!$D$259*Loads!$Q$259-Loads!$E$259*Loads!$P$259</f>
        <v/>
      </c>
      <c r="S259" s="3">
        <f>IF(AND(Loads!$A$259=1,Loads!$B$26=41),-Loads!$B$24,0)</f>
        <v/>
      </c>
      <c r="T259" s="3">
        <f>IF(AND(Loads!$A$259=1,Loads!$B$27=41),Loads!$B$25,0)</f>
        <v/>
      </c>
      <c r="U259" s="3">
        <f>Loads!$D$259*Loads!$S$259-Loads!$E$259*Loads!$T$259</f>
        <v/>
      </c>
      <c r="V259" s="3">
        <f>IF(Loads!$A$259=1,SUMIFS(Loads!$P$153:$P$212,Inputs!$C$224:$C$283,Loads!$B$259)-SUMIFS(Loads!$P$153:$P$212,Inputs!$D$224:$D$283,Loads!$B$259),0)</f>
        <v/>
      </c>
      <c r="W259" s="3">
        <f>IF(Loads!$A$259=1,SUMIFS(Loads!$Q$153:$Q$212,Inputs!$C$224:$C$283,Loads!$B$259)-SUMIFS(Loads!$Q$153:$Q$212,Inputs!$D$224:$D$283,Loads!$B$259),0)</f>
        <v/>
      </c>
      <c r="X259" s="3">
        <f>Loads!$D$259*Loads!$W$259-Loads!$E$259*Loads!$V$259</f>
        <v/>
      </c>
      <c r="Y259" s="3">
        <f>IF(Loads!$A$259=1,SUMIFS(Loads!$R$153:$R$212,Inputs!$C$224:$C$283,Loads!$B$259)-SUMIFS(Loads!$R$153:$R$212,Inputs!$D$224:$D$283,Loads!$B$259),0)</f>
        <v/>
      </c>
      <c r="Z259" s="3">
        <f>IF(Loads!$A$259=1,SUMIFS(Loads!$S$153:$S$212,Inputs!$C$224:$C$283,Loads!$B$259)-SUMIFS(Loads!$S$153:$S$212,Inputs!$D$224:$D$283,Loads!$B$259),0)</f>
        <v/>
      </c>
      <c r="AA259" s="3">
        <f>Loads!$D$259*Loads!$Z$259-Loads!$E$259*Loads!$Y$259</f>
        <v/>
      </c>
      <c r="AB259" s="3">
        <f>Loads!$I$259+Loads!$M$259+Loads!$P$259+Loads!$V$259+Loads!$T$259</f>
        <v/>
      </c>
      <c r="AC259" s="3">
        <f>Loads!$J$259+Loads!$N$259+Loads!$Q$259+Loads!$W$259+Loads!$S$259</f>
        <v/>
      </c>
      <c r="AD259" s="3">
        <f>Loads!$K$259+Loads!$O$259+Loads!$R$259+Loads!$X$259+Loads!$U$259</f>
        <v/>
      </c>
    </row>
    <row r="260">
      <c r="A260" s="3">
        <f>Inputs!$A$179</f>
        <v/>
      </c>
      <c r="B260" s="3">
        <f>Geometry!$B$99</f>
        <v/>
      </c>
      <c r="C260" s="3">
        <f>IF(Loads!$A$260=1,Inputs!$C$179&amp;"","")</f>
        <v/>
      </c>
      <c r="D260" s="3">
        <f>Geometry!$K$99</f>
        <v/>
      </c>
      <c r="E260" s="3">
        <f>Geometry!$L$99</f>
        <v/>
      </c>
      <c r="F260" s="3">
        <f>IF(Loads!$A$260=1,SUMIFS(Loads!$V$153:$V$212,Inputs!$C$224:$C$283,Loads!$B$260)+SUMIFS(Loads!$V$153:$V$212,Inputs!$D$224:$D$283,Loads!$B$260),0)</f>
        <v/>
      </c>
      <c r="G260" s="3">
        <f>IF(Loads!$A$260=1,SUMIFS(Loads!$K$139:$K$146,Loads!$I$139:$I$146,Loads!$B$260),0)</f>
        <v/>
      </c>
      <c r="H260" s="3">
        <f>Loads!$F$260+Loads!$G$260</f>
        <v/>
      </c>
      <c r="I260" s="3">
        <f>Loads!$H$260*Loads!$B$15+(-Loads!$H$260*(Loads!$B$17+Loads!$B$19*(Loads!$E$260-Loads!$B$14)))</f>
        <v/>
      </c>
      <c r="J260" s="3">
        <f>Loads!$H$260*Loads!$B$16+(-Loads!$H$260*(Loads!$B$18-Loads!$B$19*(Loads!$D$260-Loads!$B$13)))</f>
        <v/>
      </c>
      <c r="K260" s="3">
        <f>Loads!$D$260*Loads!$J$260-Loads!$E$260*Loads!$I$260</f>
        <v/>
      </c>
      <c r="L260" s="3">
        <f>IF(Loads!$A$260=1,SUMIFS(Loads!$L$139:$L$146,Inputs!$D$304:$D$311,Loads!$B$260),0)</f>
        <v/>
      </c>
      <c r="M260" s="3">
        <f>Loads!$L$260*Loads!$B$15</f>
        <v/>
      </c>
      <c r="N260" s="3">
        <f>Loads!$L$260*Loads!$B$16</f>
        <v/>
      </c>
      <c r="O260" s="3">
        <f>Loads!$D$260*Loads!$N$260-Loads!$E$260*Loads!$M$260</f>
        <v/>
      </c>
      <c r="P260" s="3">
        <f>-Loads!$L$260*(Loads!$B$17+Loads!$B$19*(Loads!$E$260-Loads!$B$14))</f>
        <v/>
      </c>
      <c r="Q260" s="3">
        <f>-Loads!$L$260*(Loads!$B$18-Loads!$B$19*(Loads!$D$260-Loads!$B$13))</f>
        <v/>
      </c>
      <c r="R260" s="3">
        <f>Loads!$D$260*Loads!$Q$260-Loads!$E$260*Loads!$P$260</f>
        <v/>
      </c>
      <c r="S260" s="3">
        <f>IF(AND(Loads!$A$260=1,Loads!$B$26=42),-Loads!$B$24,0)</f>
        <v/>
      </c>
      <c r="T260" s="3">
        <f>IF(AND(Loads!$A$260=1,Loads!$B$27=42),Loads!$B$25,0)</f>
        <v/>
      </c>
      <c r="U260" s="3">
        <f>Loads!$D$260*Loads!$S$260-Loads!$E$260*Loads!$T$260</f>
        <v/>
      </c>
      <c r="V260" s="3">
        <f>IF(Loads!$A$260=1,SUMIFS(Loads!$P$153:$P$212,Inputs!$C$224:$C$283,Loads!$B$260)-SUMIFS(Loads!$P$153:$P$212,Inputs!$D$224:$D$283,Loads!$B$260),0)</f>
        <v/>
      </c>
      <c r="W260" s="3">
        <f>IF(Loads!$A$260=1,SUMIFS(Loads!$Q$153:$Q$212,Inputs!$C$224:$C$283,Loads!$B$260)-SUMIFS(Loads!$Q$153:$Q$212,Inputs!$D$224:$D$283,Loads!$B$260),0)</f>
        <v/>
      </c>
      <c r="X260" s="3">
        <f>Loads!$D$260*Loads!$W$260-Loads!$E$260*Loads!$V$260</f>
        <v/>
      </c>
      <c r="Y260" s="3">
        <f>IF(Loads!$A$260=1,SUMIFS(Loads!$R$153:$R$212,Inputs!$C$224:$C$283,Loads!$B$260)-SUMIFS(Loads!$R$153:$R$212,Inputs!$D$224:$D$283,Loads!$B$260),0)</f>
        <v/>
      </c>
      <c r="Z260" s="3">
        <f>IF(Loads!$A$260=1,SUMIFS(Loads!$S$153:$S$212,Inputs!$C$224:$C$283,Loads!$B$260)-SUMIFS(Loads!$S$153:$S$212,Inputs!$D$224:$D$283,Loads!$B$260),0)</f>
        <v/>
      </c>
      <c r="AA260" s="3">
        <f>Loads!$D$260*Loads!$Z$260-Loads!$E$260*Loads!$Y$260</f>
        <v/>
      </c>
      <c r="AB260" s="3">
        <f>Loads!$I$260+Loads!$M$260+Loads!$P$260+Loads!$V$260+Loads!$T$260</f>
        <v/>
      </c>
      <c r="AC260" s="3">
        <f>Loads!$J$260+Loads!$N$260+Loads!$Q$260+Loads!$W$260+Loads!$S$260</f>
        <v/>
      </c>
      <c r="AD260" s="3">
        <f>Loads!$K$260+Loads!$O$260+Loads!$R$260+Loads!$X$260+Loads!$U$260</f>
        <v/>
      </c>
    </row>
    <row r="261">
      <c r="A261" s="3">
        <f>Inputs!$A$180</f>
        <v/>
      </c>
      <c r="B261" s="3">
        <f>Geometry!$B$100</f>
        <v/>
      </c>
      <c r="C261" s="3">
        <f>IF(Loads!$A$261=1,Inputs!$C$180&amp;"","")</f>
        <v/>
      </c>
      <c r="D261" s="3">
        <f>Geometry!$K$100</f>
        <v/>
      </c>
      <c r="E261" s="3">
        <f>Geometry!$L$100</f>
        <v/>
      </c>
      <c r="F261" s="3">
        <f>IF(Loads!$A$261=1,SUMIFS(Loads!$V$153:$V$212,Inputs!$C$224:$C$283,Loads!$B$261)+SUMIFS(Loads!$V$153:$V$212,Inputs!$D$224:$D$283,Loads!$B$261),0)</f>
        <v/>
      </c>
      <c r="G261" s="3">
        <f>IF(Loads!$A$261=1,SUMIFS(Loads!$K$139:$K$146,Loads!$I$139:$I$146,Loads!$B$261),0)</f>
        <v/>
      </c>
      <c r="H261" s="3">
        <f>Loads!$F$261+Loads!$G$261</f>
        <v/>
      </c>
      <c r="I261" s="3">
        <f>Loads!$H$261*Loads!$B$15+(-Loads!$H$261*(Loads!$B$17+Loads!$B$19*(Loads!$E$261-Loads!$B$14)))</f>
        <v/>
      </c>
      <c r="J261" s="3">
        <f>Loads!$H$261*Loads!$B$16+(-Loads!$H$261*(Loads!$B$18-Loads!$B$19*(Loads!$D$261-Loads!$B$13)))</f>
        <v/>
      </c>
      <c r="K261" s="3">
        <f>Loads!$D$261*Loads!$J$261-Loads!$E$261*Loads!$I$261</f>
        <v/>
      </c>
      <c r="L261" s="3">
        <f>IF(Loads!$A$261=1,SUMIFS(Loads!$L$139:$L$146,Inputs!$D$304:$D$311,Loads!$B$261),0)</f>
        <v/>
      </c>
      <c r="M261" s="3">
        <f>Loads!$L$261*Loads!$B$15</f>
        <v/>
      </c>
      <c r="N261" s="3">
        <f>Loads!$L$261*Loads!$B$16</f>
        <v/>
      </c>
      <c r="O261" s="3">
        <f>Loads!$D$261*Loads!$N$261-Loads!$E$261*Loads!$M$261</f>
        <v/>
      </c>
      <c r="P261" s="3">
        <f>-Loads!$L$261*(Loads!$B$17+Loads!$B$19*(Loads!$E$261-Loads!$B$14))</f>
        <v/>
      </c>
      <c r="Q261" s="3">
        <f>-Loads!$L$261*(Loads!$B$18-Loads!$B$19*(Loads!$D$261-Loads!$B$13))</f>
        <v/>
      </c>
      <c r="R261" s="3">
        <f>Loads!$D$261*Loads!$Q$261-Loads!$E$261*Loads!$P$261</f>
        <v/>
      </c>
      <c r="S261" s="3">
        <f>IF(AND(Loads!$A$261=1,Loads!$B$26=43),-Loads!$B$24,0)</f>
        <v/>
      </c>
      <c r="T261" s="3">
        <f>IF(AND(Loads!$A$261=1,Loads!$B$27=43),Loads!$B$25,0)</f>
        <v/>
      </c>
      <c r="U261" s="3">
        <f>Loads!$D$261*Loads!$S$261-Loads!$E$261*Loads!$T$261</f>
        <v/>
      </c>
      <c r="V261" s="3">
        <f>IF(Loads!$A$261=1,SUMIFS(Loads!$P$153:$P$212,Inputs!$C$224:$C$283,Loads!$B$261)-SUMIFS(Loads!$P$153:$P$212,Inputs!$D$224:$D$283,Loads!$B$261),0)</f>
        <v/>
      </c>
      <c r="W261" s="3">
        <f>IF(Loads!$A$261=1,SUMIFS(Loads!$Q$153:$Q$212,Inputs!$C$224:$C$283,Loads!$B$261)-SUMIFS(Loads!$Q$153:$Q$212,Inputs!$D$224:$D$283,Loads!$B$261),0)</f>
        <v/>
      </c>
      <c r="X261" s="3">
        <f>Loads!$D$261*Loads!$W$261-Loads!$E$261*Loads!$V$261</f>
        <v/>
      </c>
      <c r="Y261" s="3">
        <f>IF(Loads!$A$261=1,SUMIFS(Loads!$R$153:$R$212,Inputs!$C$224:$C$283,Loads!$B$261)-SUMIFS(Loads!$R$153:$R$212,Inputs!$D$224:$D$283,Loads!$B$261),0)</f>
        <v/>
      </c>
      <c r="Z261" s="3">
        <f>IF(Loads!$A$261=1,SUMIFS(Loads!$S$153:$S$212,Inputs!$C$224:$C$283,Loads!$B$261)-SUMIFS(Loads!$S$153:$S$212,Inputs!$D$224:$D$283,Loads!$B$261),0)</f>
        <v/>
      </c>
      <c r="AA261" s="3">
        <f>Loads!$D$261*Loads!$Z$261-Loads!$E$261*Loads!$Y$261</f>
        <v/>
      </c>
      <c r="AB261" s="3">
        <f>Loads!$I$261+Loads!$M$261+Loads!$P$261+Loads!$V$261+Loads!$T$261</f>
        <v/>
      </c>
      <c r="AC261" s="3">
        <f>Loads!$J$261+Loads!$N$261+Loads!$Q$261+Loads!$W$261+Loads!$S$261</f>
        <v/>
      </c>
      <c r="AD261" s="3">
        <f>Loads!$K$261+Loads!$O$261+Loads!$R$261+Loads!$X$261+Loads!$U$261</f>
        <v/>
      </c>
    </row>
    <row r="262">
      <c r="A262" s="3">
        <f>Inputs!$A$181</f>
        <v/>
      </c>
      <c r="B262" s="3">
        <f>Geometry!$B$101</f>
        <v/>
      </c>
      <c r="C262" s="3">
        <f>IF(Loads!$A$262=1,Inputs!$C$181&amp;"","")</f>
        <v/>
      </c>
      <c r="D262" s="3">
        <f>Geometry!$K$101</f>
        <v/>
      </c>
      <c r="E262" s="3">
        <f>Geometry!$L$101</f>
        <v/>
      </c>
      <c r="F262" s="3">
        <f>IF(Loads!$A$262=1,SUMIFS(Loads!$V$153:$V$212,Inputs!$C$224:$C$283,Loads!$B$262)+SUMIFS(Loads!$V$153:$V$212,Inputs!$D$224:$D$283,Loads!$B$262),0)</f>
        <v/>
      </c>
      <c r="G262" s="3">
        <f>IF(Loads!$A$262=1,SUMIFS(Loads!$K$139:$K$146,Loads!$I$139:$I$146,Loads!$B$262),0)</f>
        <v/>
      </c>
      <c r="H262" s="3">
        <f>Loads!$F$262+Loads!$G$262</f>
        <v/>
      </c>
      <c r="I262" s="3">
        <f>Loads!$H$262*Loads!$B$15+(-Loads!$H$262*(Loads!$B$17+Loads!$B$19*(Loads!$E$262-Loads!$B$14)))</f>
        <v/>
      </c>
      <c r="J262" s="3">
        <f>Loads!$H$262*Loads!$B$16+(-Loads!$H$262*(Loads!$B$18-Loads!$B$19*(Loads!$D$262-Loads!$B$13)))</f>
        <v/>
      </c>
      <c r="K262" s="3">
        <f>Loads!$D$262*Loads!$J$262-Loads!$E$262*Loads!$I$262</f>
        <v/>
      </c>
      <c r="L262" s="3">
        <f>IF(Loads!$A$262=1,SUMIFS(Loads!$L$139:$L$146,Inputs!$D$304:$D$311,Loads!$B$262),0)</f>
        <v/>
      </c>
      <c r="M262" s="3">
        <f>Loads!$L$262*Loads!$B$15</f>
        <v/>
      </c>
      <c r="N262" s="3">
        <f>Loads!$L$262*Loads!$B$16</f>
        <v/>
      </c>
      <c r="O262" s="3">
        <f>Loads!$D$262*Loads!$N$262-Loads!$E$262*Loads!$M$262</f>
        <v/>
      </c>
      <c r="P262" s="3">
        <f>-Loads!$L$262*(Loads!$B$17+Loads!$B$19*(Loads!$E$262-Loads!$B$14))</f>
        <v/>
      </c>
      <c r="Q262" s="3">
        <f>-Loads!$L$262*(Loads!$B$18-Loads!$B$19*(Loads!$D$262-Loads!$B$13))</f>
        <v/>
      </c>
      <c r="R262" s="3">
        <f>Loads!$D$262*Loads!$Q$262-Loads!$E$262*Loads!$P$262</f>
        <v/>
      </c>
      <c r="S262" s="3">
        <f>IF(AND(Loads!$A$262=1,Loads!$B$26=44),-Loads!$B$24,0)</f>
        <v/>
      </c>
      <c r="T262" s="3">
        <f>IF(AND(Loads!$A$262=1,Loads!$B$27=44),Loads!$B$25,0)</f>
        <v/>
      </c>
      <c r="U262" s="3">
        <f>Loads!$D$262*Loads!$S$262-Loads!$E$262*Loads!$T$262</f>
        <v/>
      </c>
      <c r="V262" s="3">
        <f>IF(Loads!$A$262=1,SUMIFS(Loads!$P$153:$P$212,Inputs!$C$224:$C$283,Loads!$B$262)-SUMIFS(Loads!$P$153:$P$212,Inputs!$D$224:$D$283,Loads!$B$262),0)</f>
        <v/>
      </c>
      <c r="W262" s="3">
        <f>IF(Loads!$A$262=1,SUMIFS(Loads!$Q$153:$Q$212,Inputs!$C$224:$C$283,Loads!$B$262)-SUMIFS(Loads!$Q$153:$Q$212,Inputs!$D$224:$D$283,Loads!$B$262),0)</f>
        <v/>
      </c>
      <c r="X262" s="3">
        <f>Loads!$D$262*Loads!$W$262-Loads!$E$262*Loads!$V$262</f>
        <v/>
      </c>
      <c r="Y262" s="3">
        <f>IF(Loads!$A$262=1,SUMIFS(Loads!$R$153:$R$212,Inputs!$C$224:$C$283,Loads!$B$262)-SUMIFS(Loads!$R$153:$R$212,Inputs!$D$224:$D$283,Loads!$B$262),0)</f>
        <v/>
      </c>
      <c r="Z262" s="3">
        <f>IF(Loads!$A$262=1,SUMIFS(Loads!$S$153:$S$212,Inputs!$C$224:$C$283,Loads!$B$262)-SUMIFS(Loads!$S$153:$S$212,Inputs!$D$224:$D$283,Loads!$B$262),0)</f>
        <v/>
      </c>
      <c r="AA262" s="3">
        <f>Loads!$D$262*Loads!$Z$262-Loads!$E$262*Loads!$Y$262</f>
        <v/>
      </c>
      <c r="AB262" s="3">
        <f>Loads!$I$262+Loads!$M$262+Loads!$P$262+Loads!$V$262+Loads!$T$262</f>
        <v/>
      </c>
      <c r="AC262" s="3">
        <f>Loads!$J$262+Loads!$N$262+Loads!$Q$262+Loads!$W$262+Loads!$S$262</f>
        <v/>
      </c>
      <c r="AD262" s="3">
        <f>Loads!$K$262+Loads!$O$262+Loads!$R$262+Loads!$X$262+Loads!$U$262</f>
        <v/>
      </c>
    </row>
    <row r="263">
      <c r="A263" s="3">
        <f>Inputs!$A$182</f>
        <v/>
      </c>
      <c r="B263" s="3">
        <f>Geometry!$B$102</f>
        <v/>
      </c>
      <c r="C263" s="3">
        <f>IF(Loads!$A$263=1,Inputs!$C$182&amp;"","")</f>
        <v/>
      </c>
      <c r="D263" s="3">
        <f>Geometry!$K$102</f>
        <v/>
      </c>
      <c r="E263" s="3">
        <f>Geometry!$L$102</f>
        <v/>
      </c>
      <c r="F263" s="3">
        <f>IF(Loads!$A$263=1,SUMIFS(Loads!$V$153:$V$212,Inputs!$C$224:$C$283,Loads!$B$263)+SUMIFS(Loads!$V$153:$V$212,Inputs!$D$224:$D$283,Loads!$B$263),0)</f>
        <v/>
      </c>
      <c r="G263" s="3">
        <f>IF(Loads!$A$263=1,SUMIFS(Loads!$K$139:$K$146,Loads!$I$139:$I$146,Loads!$B$263),0)</f>
        <v/>
      </c>
      <c r="H263" s="3">
        <f>Loads!$F$263+Loads!$G$263</f>
        <v/>
      </c>
      <c r="I263" s="3">
        <f>Loads!$H$263*Loads!$B$15+(-Loads!$H$263*(Loads!$B$17+Loads!$B$19*(Loads!$E$263-Loads!$B$14)))</f>
        <v/>
      </c>
      <c r="J263" s="3">
        <f>Loads!$H$263*Loads!$B$16+(-Loads!$H$263*(Loads!$B$18-Loads!$B$19*(Loads!$D$263-Loads!$B$13)))</f>
        <v/>
      </c>
      <c r="K263" s="3">
        <f>Loads!$D$263*Loads!$J$263-Loads!$E$263*Loads!$I$263</f>
        <v/>
      </c>
      <c r="L263" s="3">
        <f>IF(Loads!$A$263=1,SUMIFS(Loads!$L$139:$L$146,Inputs!$D$304:$D$311,Loads!$B$263),0)</f>
        <v/>
      </c>
      <c r="M263" s="3">
        <f>Loads!$L$263*Loads!$B$15</f>
        <v/>
      </c>
      <c r="N263" s="3">
        <f>Loads!$L$263*Loads!$B$16</f>
        <v/>
      </c>
      <c r="O263" s="3">
        <f>Loads!$D$263*Loads!$N$263-Loads!$E$263*Loads!$M$263</f>
        <v/>
      </c>
      <c r="P263" s="3">
        <f>-Loads!$L$263*(Loads!$B$17+Loads!$B$19*(Loads!$E$263-Loads!$B$14))</f>
        <v/>
      </c>
      <c r="Q263" s="3">
        <f>-Loads!$L$263*(Loads!$B$18-Loads!$B$19*(Loads!$D$263-Loads!$B$13))</f>
        <v/>
      </c>
      <c r="R263" s="3">
        <f>Loads!$D$263*Loads!$Q$263-Loads!$E$263*Loads!$P$263</f>
        <v/>
      </c>
      <c r="S263" s="3">
        <f>IF(AND(Loads!$A$263=1,Loads!$B$26=45),-Loads!$B$24,0)</f>
        <v/>
      </c>
      <c r="T263" s="3">
        <f>IF(AND(Loads!$A$263=1,Loads!$B$27=45),Loads!$B$25,0)</f>
        <v/>
      </c>
      <c r="U263" s="3">
        <f>Loads!$D$263*Loads!$S$263-Loads!$E$263*Loads!$T$263</f>
        <v/>
      </c>
      <c r="V263" s="3">
        <f>IF(Loads!$A$263=1,SUMIFS(Loads!$P$153:$P$212,Inputs!$C$224:$C$283,Loads!$B$263)-SUMIFS(Loads!$P$153:$P$212,Inputs!$D$224:$D$283,Loads!$B$263),0)</f>
        <v/>
      </c>
      <c r="W263" s="3">
        <f>IF(Loads!$A$263=1,SUMIFS(Loads!$Q$153:$Q$212,Inputs!$C$224:$C$283,Loads!$B$263)-SUMIFS(Loads!$Q$153:$Q$212,Inputs!$D$224:$D$283,Loads!$B$263),0)</f>
        <v/>
      </c>
      <c r="X263" s="3">
        <f>Loads!$D$263*Loads!$W$263-Loads!$E$263*Loads!$V$263</f>
        <v/>
      </c>
      <c r="Y263" s="3">
        <f>IF(Loads!$A$263=1,SUMIFS(Loads!$R$153:$R$212,Inputs!$C$224:$C$283,Loads!$B$263)-SUMIFS(Loads!$R$153:$R$212,Inputs!$D$224:$D$283,Loads!$B$263),0)</f>
        <v/>
      </c>
      <c r="Z263" s="3">
        <f>IF(Loads!$A$263=1,SUMIFS(Loads!$S$153:$S$212,Inputs!$C$224:$C$283,Loads!$B$263)-SUMIFS(Loads!$S$153:$S$212,Inputs!$D$224:$D$283,Loads!$B$263),0)</f>
        <v/>
      </c>
      <c r="AA263" s="3">
        <f>Loads!$D$263*Loads!$Z$263-Loads!$E$263*Loads!$Y$263</f>
        <v/>
      </c>
      <c r="AB263" s="3">
        <f>Loads!$I$263+Loads!$M$263+Loads!$P$263+Loads!$V$263+Loads!$T$263</f>
        <v/>
      </c>
      <c r="AC263" s="3">
        <f>Loads!$J$263+Loads!$N$263+Loads!$Q$263+Loads!$W$263+Loads!$S$263</f>
        <v/>
      </c>
      <c r="AD263" s="3">
        <f>Loads!$K$263+Loads!$O$263+Loads!$R$263+Loads!$X$263+Loads!$U$263</f>
        <v/>
      </c>
    </row>
    <row r="264">
      <c r="A264" s="3">
        <f>Inputs!$A$183</f>
        <v/>
      </c>
      <c r="B264" s="3">
        <f>Geometry!$B$103</f>
        <v/>
      </c>
      <c r="C264" s="3">
        <f>IF(Loads!$A$264=1,Inputs!$C$183&amp;"","")</f>
        <v/>
      </c>
      <c r="D264" s="3">
        <f>Geometry!$K$103</f>
        <v/>
      </c>
      <c r="E264" s="3">
        <f>Geometry!$L$103</f>
        <v/>
      </c>
      <c r="F264" s="3">
        <f>IF(Loads!$A$264=1,SUMIFS(Loads!$V$153:$V$212,Inputs!$C$224:$C$283,Loads!$B$264)+SUMIFS(Loads!$V$153:$V$212,Inputs!$D$224:$D$283,Loads!$B$264),0)</f>
        <v/>
      </c>
      <c r="G264" s="3">
        <f>IF(Loads!$A$264=1,SUMIFS(Loads!$K$139:$K$146,Loads!$I$139:$I$146,Loads!$B$264),0)</f>
        <v/>
      </c>
      <c r="H264" s="3">
        <f>Loads!$F$264+Loads!$G$264</f>
        <v/>
      </c>
      <c r="I264" s="3">
        <f>Loads!$H$264*Loads!$B$15+(-Loads!$H$264*(Loads!$B$17+Loads!$B$19*(Loads!$E$264-Loads!$B$14)))</f>
        <v/>
      </c>
      <c r="J264" s="3">
        <f>Loads!$H$264*Loads!$B$16+(-Loads!$H$264*(Loads!$B$18-Loads!$B$19*(Loads!$D$264-Loads!$B$13)))</f>
        <v/>
      </c>
      <c r="K264" s="3">
        <f>Loads!$D$264*Loads!$J$264-Loads!$E$264*Loads!$I$264</f>
        <v/>
      </c>
      <c r="L264" s="3">
        <f>IF(Loads!$A$264=1,SUMIFS(Loads!$L$139:$L$146,Inputs!$D$304:$D$311,Loads!$B$264),0)</f>
        <v/>
      </c>
      <c r="M264" s="3">
        <f>Loads!$L$264*Loads!$B$15</f>
        <v/>
      </c>
      <c r="N264" s="3">
        <f>Loads!$L$264*Loads!$B$16</f>
        <v/>
      </c>
      <c r="O264" s="3">
        <f>Loads!$D$264*Loads!$N$264-Loads!$E$264*Loads!$M$264</f>
        <v/>
      </c>
      <c r="P264" s="3">
        <f>-Loads!$L$264*(Loads!$B$17+Loads!$B$19*(Loads!$E$264-Loads!$B$14))</f>
        <v/>
      </c>
      <c r="Q264" s="3">
        <f>-Loads!$L$264*(Loads!$B$18-Loads!$B$19*(Loads!$D$264-Loads!$B$13))</f>
        <v/>
      </c>
      <c r="R264" s="3">
        <f>Loads!$D$264*Loads!$Q$264-Loads!$E$264*Loads!$P$264</f>
        <v/>
      </c>
      <c r="S264" s="3">
        <f>IF(AND(Loads!$A$264=1,Loads!$B$26=46),-Loads!$B$24,0)</f>
        <v/>
      </c>
      <c r="T264" s="3">
        <f>IF(AND(Loads!$A$264=1,Loads!$B$27=46),Loads!$B$25,0)</f>
        <v/>
      </c>
      <c r="U264" s="3">
        <f>Loads!$D$264*Loads!$S$264-Loads!$E$264*Loads!$T$264</f>
        <v/>
      </c>
      <c r="V264" s="3">
        <f>IF(Loads!$A$264=1,SUMIFS(Loads!$P$153:$P$212,Inputs!$C$224:$C$283,Loads!$B$264)-SUMIFS(Loads!$P$153:$P$212,Inputs!$D$224:$D$283,Loads!$B$264),0)</f>
        <v/>
      </c>
      <c r="W264" s="3">
        <f>IF(Loads!$A$264=1,SUMIFS(Loads!$Q$153:$Q$212,Inputs!$C$224:$C$283,Loads!$B$264)-SUMIFS(Loads!$Q$153:$Q$212,Inputs!$D$224:$D$283,Loads!$B$264),0)</f>
        <v/>
      </c>
      <c r="X264" s="3">
        <f>Loads!$D$264*Loads!$W$264-Loads!$E$264*Loads!$V$264</f>
        <v/>
      </c>
      <c r="Y264" s="3">
        <f>IF(Loads!$A$264=1,SUMIFS(Loads!$R$153:$R$212,Inputs!$C$224:$C$283,Loads!$B$264)-SUMIFS(Loads!$R$153:$R$212,Inputs!$D$224:$D$283,Loads!$B$264),0)</f>
        <v/>
      </c>
      <c r="Z264" s="3">
        <f>IF(Loads!$A$264=1,SUMIFS(Loads!$S$153:$S$212,Inputs!$C$224:$C$283,Loads!$B$264)-SUMIFS(Loads!$S$153:$S$212,Inputs!$D$224:$D$283,Loads!$B$264),0)</f>
        <v/>
      </c>
      <c r="AA264" s="3">
        <f>Loads!$D$264*Loads!$Z$264-Loads!$E$264*Loads!$Y$264</f>
        <v/>
      </c>
      <c r="AB264" s="3">
        <f>Loads!$I$264+Loads!$M$264+Loads!$P$264+Loads!$V$264+Loads!$T$264</f>
        <v/>
      </c>
      <c r="AC264" s="3">
        <f>Loads!$J$264+Loads!$N$264+Loads!$Q$264+Loads!$W$264+Loads!$S$264</f>
        <v/>
      </c>
      <c r="AD264" s="3">
        <f>Loads!$K$264+Loads!$O$264+Loads!$R$264+Loads!$X$264+Loads!$U$264</f>
        <v/>
      </c>
    </row>
    <row r="265">
      <c r="A265" s="3">
        <f>Inputs!$A$184</f>
        <v/>
      </c>
      <c r="B265" s="3">
        <f>Geometry!$B$104</f>
        <v/>
      </c>
      <c r="C265" s="3">
        <f>IF(Loads!$A$265=1,Inputs!$C$184&amp;"","")</f>
        <v/>
      </c>
      <c r="D265" s="3">
        <f>Geometry!$K$104</f>
        <v/>
      </c>
      <c r="E265" s="3">
        <f>Geometry!$L$104</f>
        <v/>
      </c>
      <c r="F265" s="3">
        <f>IF(Loads!$A$265=1,SUMIFS(Loads!$V$153:$V$212,Inputs!$C$224:$C$283,Loads!$B$265)+SUMIFS(Loads!$V$153:$V$212,Inputs!$D$224:$D$283,Loads!$B$265),0)</f>
        <v/>
      </c>
      <c r="G265" s="3">
        <f>IF(Loads!$A$265=1,SUMIFS(Loads!$K$139:$K$146,Loads!$I$139:$I$146,Loads!$B$265),0)</f>
        <v/>
      </c>
      <c r="H265" s="3">
        <f>Loads!$F$265+Loads!$G$265</f>
        <v/>
      </c>
      <c r="I265" s="3">
        <f>Loads!$H$265*Loads!$B$15+(-Loads!$H$265*(Loads!$B$17+Loads!$B$19*(Loads!$E$265-Loads!$B$14)))</f>
        <v/>
      </c>
      <c r="J265" s="3">
        <f>Loads!$H$265*Loads!$B$16+(-Loads!$H$265*(Loads!$B$18-Loads!$B$19*(Loads!$D$265-Loads!$B$13)))</f>
        <v/>
      </c>
      <c r="K265" s="3">
        <f>Loads!$D$265*Loads!$J$265-Loads!$E$265*Loads!$I$265</f>
        <v/>
      </c>
      <c r="L265" s="3">
        <f>IF(Loads!$A$265=1,SUMIFS(Loads!$L$139:$L$146,Inputs!$D$304:$D$311,Loads!$B$265),0)</f>
        <v/>
      </c>
      <c r="M265" s="3">
        <f>Loads!$L$265*Loads!$B$15</f>
        <v/>
      </c>
      <c r="N265" s="3">
        <f>Loads!$L$265*Loads!$B$16</f>
        <v/>
      </c>
      <c r="O265" s="3">
        <f>Loads!$D$265*Loads!$N$265-Loads!$E$265*Loads!$M$265</f>
        <v/>
      </c>
      <c r="P265" s="3">
        <f>-Loads!$L$265*(Loads!$B$17+Loads!$B$19*(Loads!$E$265-Loads!$B$14))</f>
        <v/>
      </c>
      <c r="Q265" s="3">
        <f>-Loads!$L$265*(Loads!$B$18-Loads!$B$19*(Loads!$D$265-Loads!$B$13))</f>
        <v/>
      </c>
      <c r="R265" s="3">
        <f>Loads!$D$265*Loads!$Q$265-Loads!$E$265*Loads!$P$265</f>
        <v/>
      </c>
      <c r="S265" s="3">
        <f>IF(AND(Loads!$A$265=1,Loads!$B$26=47),-Loads!$B$24,0)</f>
        <v/>
      </c>
      <c r="T265" s="3">
        <f>IF(AND(Loads!$A$265=1,Loads!$B$27=47),Loads!$B$25,0)</f>
        <v/>
      </c>
      <c r="U265" s="3">
        <f>Loads!$D$265*Loads!$S$265-Loads!$E$265*Loads!$T$265</f>
        <v/>
      </c>
      <c r="V265" s="3">
        <f>IF(Loads!$A$265=1,SUMIFS(Loads!$P$153:$P$212,Inputs!$C$224:$C$283,Loads!$B$265)-SUMIFS(Loads!$P$153:$P$212,Inputs!$D$224:$D$283,Loads!$B$265),0)</f>
        <v/>
      </c>
      <c r="W265" s="3">
        <f>IF(Loads!$A$265=1,SUMIFS(Loads!$Q$153:$Q$212,Inputs!$C$224:$C$283,Loads!$B$265)-SUMIFS(Loads!$Q$153:$Q$212,Inputs!$D$224:$D$283,Loads!$B$265),0)</f>
        <v/>
      </c>
      <c r="X265" s="3">
        <f>Loads!$D$265*Loads!$W$265-Loads!$E$265*Loads!$V$265</f>
        <v/>
      </c>
      <c r="Y265" s="3">
        <f>IF(Loads!$A$265=1,SUMIFS(Loads!$R$153:$R$212,Inputs!$C$224:$C$283,Loads!$B$265)-SUMIFS(Loads!$R$153:$R$212,Inputs!$D$224:$D$283,Loads!$B$265),0)</f>
        <v/>
      </c>
      <c r="Z265" s="3">
        <f>IF(Loads!$A$265=1,SUMIFS(Loads!$S$153:$S$212,Inputs!$C$224:$C$283,Loads!$B$265)-SUMIFS(Loads!$S$153:$S$212,Inputs!$D$224:$D$283,Loads!$B$265),0)</f>
        <v/>
      </c>
      <c r="AA265" s="3">
        <f>Loads!$D$265*Loads!$Z$265-Loads!$E$265*Loads!$Y$265</f>
        <v/>
      </c>
      <c r="AB265" s="3">
        <f>Loads!$I$265+Loads!$M$265+Loads!$P$265+Loads!$V$265+Loads!$T$265</f>
        <v/>
      </c>
      <c r="AC265" s="3">
        <f>Loads!$J$265+Loads!$N$265+Loads!$Q$265+Loads!$W$265+Loads!$S$265</f>
        <v/>
      </c>
      <c r="AD265" s="3">
        <f>Loads!$K$265+Loads!$O$265+Loads!$R$265+Loads!$X$265+Loads!$U$265</f>
        <v/>
      </c>
    </row>
    <row r="266">
      <c r="A266" s="3">
        <f>Inputs!$A$185</f>
        <v/>
      </c>
      <c r="B266" s="3">
        <f>Geometry!$B$105</f>
        <v/>
      </c>
      <c r="C266" s="3">
        <f>IF(Loads!$A$266=1,Inputs!$C$185&amp;"","")</f>
        <v/>
      </c>
      <c r="D266" s="3">
        <f>Geometry!$K$105</f>
        <v/>
      </c>
      <c r="E266" s="3">
        <f>Geometry!$L$105</f>
        <v/>
      </c>
      <c r="F266" s="3">
        <f>IF(Loads!$A$266=1,SUMIFS(Loads!$V$153:$V$212,Inputs!$C$224:$C$283,Loads!$B$266)+SUMIFS(Loads!$V$153:$V$212,Inputs!$D$224:$D$283,Loads!$B$266),0)</f>
        <v/>
      </c>
      <c r="G266" s="3">
        <f>IF(Loads!$A$266=1,SUMIFS(Loads!$K$139:$K$146,Loads!$I$139:$I$146,Loads!$B$266),0)</f>
        <v/>
      </c>
      <c r="H266" s="3">
        <f>Loads!$F$266+Loads!$G$266</f>
        <v/>
      </c>
      <c r="I266" s="3">
        <f>Loads!$H$266*Loads!$B$15+(-Loads!$H$266*(Loads!$B$17+Loads!$B$19*(Loads!$E$266-Loads!$B$14)))</f>
        <v/>
      </c>
      <c r="J266" s="3">
        <f>Loads!$H$266*Loads!$B$16+(-Loads!$H$266*(Loads!$B$18-Loads!$B$19*(Loads!$D$266-Loads!$B$13)))</f>
        <v/>
      </c>
      <c r="K266" s="3">
        <f>Loads!$D$266*Loads!$J$266-Loads!$E$266*Loads!$I$266</f>
        <v/>
      </c>
      <c r="L266" s="3">
        <f>IF(Loads!$A$266=1,SUMIFS(Loads!$L$139:$L$146,Inputs!$D$304:$D$311,Loads!$B$266),0)</f>
        <v/>
      </c>
      <c r="M266" s="3">
        <f>Loads!$L$266*Loads!$B$15</f>
        <v/>
      </c>
      <c r="N266" s="3">
        <f>Loads!$L$266*Loads!$B$16</f>
        <v/>
      </c>
      <c r="O266" s="3">
        <f>Loads!$D$266*Loads!$N$266-Loads!$E$266*Loads!$M$266</f>
        <v/>
      </c>
      <c r="P266" s="3">
        <f>-Loads!$L$266*(Loads!$B$17+Loads!$B$19*(Loads!$E$266-Loads!$B$14))</f>
        <v/>
      </c>
      <c r="Q266" s="3">
        <f>-Loads!$L$266*(Loads!$B$18-Loads!$B$19*(Loads!$D$266-Loads!$B$13))</f>
        <v/>
      </c>
      <c r="R266" s="3">
        <f>Loads!$D$266*Loads!$Q$266-Loads!$E$266*Loads!$P$266</f>
        <v/>
      </c>
      <c r="S266" s="3">
        <f>IF(AND(Loads!$A$266=1,Loads!$B$26=48),-Loads!$B$24,0)</f>
        <v/>
      </c>
      <c r="T266" s="3">
        <f>IF(AND(Loads!$A$266=1,Loads!$B$27=48),Loads!$B$25,0)</f>
        <v/>
      </c>
      <c r="U266" s="3">
        <f>Loads!$D$266*Loads!$S$266-Loads!$E$266*Loads!$T$266</f>
        <v/>
      </c>
      <c r="V266" s="3">
        <f>IF(Loads!$A$266=1,SUMIFS(Loads!$P$153:$P$212,Inputs!$C$224:$C$283,Loads!$B$266)-SUMIFS(Loads!$P$153:$P$212,Inputs!$D$224:$D$283,Loads!$B$266),0)</f>
        <v/>
      </c>
      <c r="W266" s="3">
        <f>IF(Loads!$A$266=1,SUMIFS(Loads!$Q$153:$Q$212,Inputs!$C$224:$C$283,Loads!$B$266)-SUMIFS(Loads!$Q$153:$Q$212,Inputs!$D$224:$D$283,Loads!$B$266),0)</f>
        <v/>
      </c>
      <c r="X266" s="3">
        <f>Loads!$D$266*Loads!$W$266-Loads!$E$266*Loads!$V$266</f>
        <v/>
      </c>
      <c r="Y266" s="3">
        <f>IF(Loads!$A$266=1,SUMIFS(Loads!$R$153:$R$212,Inputs!$C$224:$C$283,Loads!$B$266)-SUMIFS(Loads!$R$153:$R$212,Inputs!$D$224:$D$283,Loads!$B$266),0)</f>
        <v/>
      </c>
      <c r="Z266" s="3">
        <f>IF(Loads!$A$266=1,SUMIFS(Loads!$S$153:$S$212,Inputs!$C$224:$C$283,Loads!$B$266)-SUMIFS(Loads!$S$153:$S$212,Inputs!$D$224:$D$283,Loads!$B$266),0)</f>
        <v/>
      </c>
      <c r="AA266" s="3">
        <f>Loads!$D$266*Loads!$Z$266-Loads!$E$266*Loads!$Y$266</f>
        <v/>
      </c>
      <c r="AB266" s="3">
        <f>Loads!$I$266+Loads!$M$266+Loads!$P$266+Loads!$V$266+Loads!$T$266</f>
        <v/>
      </c>
      <c r="AC266" s="3">
        <f>Loads!$J$266+Loads!$N$266+Loads!$Q$266+Loads!$W$266+Loads!$S$266</f>
        <v/>
      </c>
      <c r="AD266" s="3">
        <f>Loads!$K$266+Loads!$O$266+Loads!$R$266+Loads!$X$266+Loads!$U$266</f>
        <v/>
      </c>
    </row>
    <row r="267">
      <c r="A267" s="3">
        <f>Inputs!$A$186</f>
        <v/>
      </c>
      <c r="B267" s="3">
        <f>Geometry!$B$106</f>
        <v/>
      </c>
      <c r="C267" s="3">
        <f>IF(Loads!$A$267=1,Inputs!$C$186&amp;"","")</f>
        <v/>
      </c>
      <c r="D267" s="3">
        <f>Geometry!$K$106</f>
        <v/>
      </c>
      <c r="E267" s="3">
        <f>Geometry!$L$106</f>
        <v/>
      </c>
      <c r="F267" s="3">
        <f>IF(Loads!$A$267=1,SUMIFS(Loads!$V$153:$V$212,Inputs!$C$224:$C$283,Loads!$B$267)+SUMIFS(Loads!$V$153:$V$212,Inputs!$D$224:$D$283,Loads!$B$267),0)</f>
        <v/>
      </c>
      <c r="G267" s="3">
        <f>IF(Loads!$A$267=1,SUMIFS(Loads!$K$139:$K$146,Loads!$I$139:$I$146,Loads!$B$267),0)</f>
        <v/>
      </c>
      <c r="H267" s="3">
        <f>Loads!$F$267+Loads!$G$267</f>
        <v/>
      </c>
      <c r="I267" s="3">
        <f>Loads!$H$267*Loads!$B$15+(-Loads!$H$267*(Loads!$B$17+Loads!$B$19*(Loads!$E$267-Loads!$B$14)))</f>
        <v/>
      </c>
      <c r="J267" s="3">
        <f>Loads!$H$267*Loads!$B$16+(-Loads!$H$267*(Loads!$B$18-Loads!$B$19*(Loads!$D$267-Loads!$B$13)))</f>
        <v/>
      </c>
      <c r="K267" s="3">
        <f>Loads!$D$267*Loads!$J$267-Loads!$E$267*Loads!$I$267</f>
        <v/>
      </c>
      <c r="L267" s="3">
        <f>IF(Loads!$A$267=1,SUMIFS(Loads!$L$139:$L$146,Inputs!$D$304:$D$311,Loads!$B$267),0)</f>
        <v/>
      </c>
      <c r="M267" s="3">
        <f>Loads!$L$267*Loads!$B$15</f>
        <v/>
      </c>
      <c r="N267" s="3">
        <f>Loads!$L$267*Loads!$B$16</f>
        <v/>
      </c>
      <c r="O267" s="3">
        <f>Loads!$D$267*Loads!$N$267-Loads!$E$267*Loads!$M$267</f>
        <v/>
      </c>
      <c r="P267" s="3">
        <f>-Loads!$L$267*(Loads!$B$17+Loads!$B$19*(Loads!$E$267-Loads!$B$14))</f>
        <v/>
      </c>
      <c r="Q267" s="3">
        <f>-Loads!$L$267*(Loads!$B$18-Loads!$B$19*(Loads!$D$267-Loads!$B$13))</f>
        <v/>
      </c>
      <c r="R267" s="3">
        <f>Loads!$D$267*Loads!$Q$267-Loads!$E$267*Loads!$P$267</f>
        <v/>
      </c>
      <c r="S267" s="3">
        <f>IF(AND(Loads!$A$267=1,Loads!$B$26=49),-Loads!$B$24,0)</f>
        <v/>
      </c>
      <c r="T267" s="3">
        <f>IF(AND(Loads!$A$267=1,Loads!$B$27=49),Loads!$B$25,0)</f>
        <v/>
      </c>
      <c r="U267" s="3">
        <f>Loads!$D$267*Loads!$S$267-Loads!$E$267*Loads!$T$267</f>
        <v/>
      </c>
      <c r="V267" s="3">
        <f>IF(Loads!$A$267=1,SUMIFS(Loads!$P$153:$P$212,Inputs!$C$224:$C$283,Loads!$B$267)-SUMIFS(Loads!$P$153:$P$212,Inputs!$D$224:$D$283,Loads!$B$267),0)</f>
        <v/>
      </c>
      <c r="W267" s="3">
        <f>IF(Loads!$A$267=1,SUMIFS(Loads!$Q$153:$Q$212,Inputs!$C$224:$C$283,Loads!$B$267)-SUMIFS(Loads!$Q$153:$Q$212,Inputs!$D$224:$D$283,Loads!$B$267),0)</f>
        <v/>
      </c>
      <c r="X267" s="3">
        <f>Loads!$D$267*Loads!$W$267-Loads!$E$267*Loads!$V$267</f>
        <v/>
      </c>
      <c r="Y267" s="3">
        <f>IF(Loads!$A$267=1,SUMIFS(Loads!$R$153:$R$212,Inputs!$C$224:$C$283,Loads!$B$267)-SUMIFS(Loads!$R$153:$R$212,Inputs!$D$224:$D$283,Loads!$B$267),0)</f>
        <v/>
      </c>
      <c r="Z267" s="3">
        <f>IF(Loads!$A$267=1,SUMIFS(Loads!$S$153:$S$212,Inputs!$C$224:$C$283,Loads!$B$267)-SUMIFS(Loads!$S$153:$S$212,Inputs!$D$224:$D$283,Loads!$B$267),0)</f>
        <v/>
      </c>
      <c r="AA267" s="3">
        <f>Loads!$D$267*Loads!$Z$267-Loads!$E$267*Loads!$Y$267</f>
        <v/>
      </c>
      <c r="AB267" s="3">
        <f>Loads!$I$267+Loads!$M$267+Loads!$P$267+Loads!$V$267+Loads!$T$267</f>
        <v/>
      </c>
      <c r="AC267" s="3">
        <f>Loads!$J$267+Loads!$N$267+Loads!$Q$267+Loads!$W$267+Loads!$S$267</f>
        <v/>
      </c>
      <c r="AD267" s="3">
        <f>Loads!$K$267+Loads!$O$267+Loads!$R$267+Loads!$X$267+Loads!$U$267</f>
        <v/>
      </c>
    </row>
    <row r="268">
      <c r="A268" s="3">
        <f>Inputs!$A$187</f>
        <v/>
      </c>
      <c r="B268" s="3">
        <f>Geometry!$B$107</f>
        <v/>
      </c>
      <c r="C268" s="3">
        <f>IF(Loads!$A$268=1,Inputs!$C$187&amp;"","")</f>
        <v/>
      </c>
      <c r="D268" s="3">
        <f>Geometry!$K$107</f>
        <v/>
      </c>
      <c r="E268" s="3">
        <f>Geometry!$L$107</f>
        <v/>
      </c>
      <c r="F268" s="3">
        <f>IF(Loads!$A$268=1,SUMIFS(Loads!$V$153:$V$212,Inputs!$C$224:$C$283,Loads!$B$268)+SUMIFS(Loads!$V$153:$V$212,Inputs!$D$224:$D$283,Loads!$B$268),0)</f>
        <v/>
      </c>
      <c r="G268" s="3">
        <f>IF(Loads!$A$268=1,SUMIFS(Loads!$K$139:$K$146,Loads!$I$139:$I$146,Loads!$B$268),0)</f>
        <v/>
      </c>
      <c r="H268" s="3">
        <f>Loads!$F$268+Loads!$G$268</f>
        <v/>
      </c>
      <c r="I268" s="3">
        <f>Loads!$H$268*Loads!$B$15+(-Loads!$H$268*(Loads!$B$17+Loads!$B$19*(Loads!$E$268-Loads!$B$14)))</f>
        <v/>
      </c>
      <c r="J268" s="3">
        <f>Loads!$H$268*Loads!$B$16+(-Loads!$H$268*(Loads!$B$18-Loads!$B$19*(Loads!$D$268-Loads!$B$13)))</f>
        <v/>
      </c>
      <c r="K268" s="3">
        <f>Loads!$D$268*Loads!$J$268-Loads!$E$268*Loads!$I$268</f>
        <v/>
      </c>
      <c r="L268" s="3">
        <f>IF(Loads!$A$268=1,SUMIFS(Loads!$L$139:$L$146,Inputs!$D$304:$D$311,Loads!$B$268),0)</f>
        <v/>
      </c>
      <c r="M268" s="3">
        <f>Loads!$L$268*Loads!$B$15</f>
        <v/>
      </c>
      <c r="N268" s="3">
        <f>Loads!$L$268*Loads!$B$16</f>
        <v/>
      </c>
      <c r="O268" s="3">
        <f>Loads!$D$268*Loads!$N$268-Loads!$E$268*Loads!$M$268</f>
        <v/>
      </c>
      <c r="P268" s="3">
        <f>-Loads!$L$268*(Loads!$B$17+Loads!$B$19*(Loads!$E$268-Loads!$B$14))</f>
        <v/>
      </c>
      <c r="Q268" s="3">
        <f>-Loads!$L$268*(Loads!$B$18-Loads!$B$19*(Loads!$D$268-Loads!$B$13))</f>
        <v/>
      </c>
      <c r="R268" s="3">
        <f>Loads!$D$268*Loads!$Q$268-Loads!$E$268*Loads!$P$268</f>
        <v/>
      </c>
      <c r="S268" s="3">
        <f>IF(AND(Loads!$A$268=1,Loads!$B$26=50),-Loads!$B$24,0)</f>
        <v/>
      </c>
      <c r="T268" s="3">
        <f>IF(AND(Loads!$A$268=1,Loads!$B$27=50),Loads!$B$25,0)</f>
        <v/>
      </c>
      <c r="U268" s="3">
        <f>Loads!$D$268*Loads!$S$268-Loads!$E$268*Loads!$T$268</f>
        <v/>
      </c>
      <c r="V268" s="3">
        <f>IF(Loads!$A$268=1,SUMIFS(Loads!$P$153:$P$212,Inputs!$C$224:$C$283,Loads!$B$268)-SUMIFS(Loads!$P$153:$P$212,Inputs!$D$224:$D$283,Loads!$B$268),0)</f>
        <v/>
      </c>
      <c r="W268" s="3">
        <f>IF(Loads!$A$268=1,SUMIFS(Loads!$Q$153:$Q$212,Inputs!$C$224:$C$283,Loads!$B$268)-SUMIFS(Loads!$Q$153:$Q$212,Inputs!$D$224:$D$283,Loads!$B$268),0)</f>
        <v/>
      </c>
      <c r="X268" s="3">
        <f>Loads!$D$268*Loads!$W$268-Loads!$E$268*Loads!$V$268</f>
        <v/>
      </c>
      <c r="Y268" s="3">
        <f>IF(Loads!$A$268=1,SUMIFS(Loads!$R$153:$R$212,Inputs!$C$224:$C$283,Loads!$B$268)-SUMIFS(Loads!$R$153:$R$212,Inputs!$D$224:$D$283,Loads!$B$268),0)</f>
        <v/>
      </c>
      <c r="Z268" s="3">
        <f>IF(Loads!$A$268=1,SUMIFS(Loads!$S$153:$S$212,Inputs!$C$224:$C$283,Loads!$B$268)-SUMIFS(Loads!$S$153:$S$212,Inputs!$D$224:$D$283,Loads!$B$268),0)</f>
        <v/>
      </c>
      <c r="AA268" s="3">
        <f>Loads!$D$268*Loads!$Z$268-Loads!$E$268*Loads!$Y$268</f>
        <v/>
      </c>
      <c r="AB268" s="3">
        <f>Loads!$I$268+Loads!$M$268+Loads!$P$268+Loads!$V$268+Loads!$T$268</f>
        <v/>
      </c>
      <c r="AC268" s="3">
        <f>Loads!$J$268+Loads!$N$268+Loads!$Q$268+Loads!$W$268+Loads!$S$268</f>
        <v/>
      </c>
      <c r="AD268" s="3">
        <f>Loads!$K$268+Loads!$O$268+Loads!$R$268+Loads!$X$268+Loads!$U$268</f>
        <v/>
      </c>
    </row>
    <row r="269">
      <c r="A269" s="3">
        <f>Inputs!$A$188</f>
        <v/>
      </c>
      <c r="B269" s="3">
        <f>Geometry!$B$108</f>
        <v/>
      </c>
      <c r="C269" s="3">
        <f>IF(Loads!$A$269=1,Inputs!$C$188&amp;"","")</f>
        <v/>
      </c>
      <c r="D269" s="3">
        <f>Geometry!$K$108</f>
        <v/>
      </c>
      <c r="E269" s="3">
        <f>Geometry!$L$108</f>
        <v/>
      </c>
      <c r="F269" s="3">
        <f>IF(Loads!$A$269=1,SUMIFS(Loads!$V$153:$V$212,Inputs!$C$224:$C$283,Loads!$B$269)+SUMIFS(Loads!$V$153:$V$212,Inputs!$D$224:$D$283,Loads!$B$269),0)</f>
        <v/>
      </c>
      <c r="G269" s="3">
        <f>IF(Loads!$A$269=1,SUMIFS(Loads!$K$139:$K$146,Loads!$I$139:$I$146,Loads!$B$269),0)</f>
        <v/>
      </c>
      <c r="H269" s="3">
        <f>Loads!$F$269+Loads!$G$269</f>
        <v/>
      </c>
      <c r="I269" s="3">
        <f>Loads!$H$269*Loads!$B$15+(-Loads!$H$269*(Loads!$B$17+Loads!$B$19*(Loads!$E$269-Loads!$B$14)))</f>
        <v/>
      </c>
      <c r="J269" s="3">
        <f>Loads!$H$269*Loads!$B$16+(-Loads!$H$269*(Loads!$B$18-Loads!$B$19*(Loads!$D$269-Loads!$B$13)))</f>
        <v/>
      </c>
      <c r="K269" s="3">
        <f>Loads!$D$269*Loads!$J$269-Loads!$E$269*Loads!$I$269</f>
        <v/>
      </c>
      <c r="L269" s="3">
        <f>IF(Loads!$A$269=1,SUMIFS(Loads!$L$139:$L$146,Inputs!$D$304:$D$311,Loads!$B$269),0)</f>
        <v/>
      </c>
      <c r="M269" s="3">
        <f>Loads!$L$269*Loads!$B$15</f>
        <v/>
      </c>
      <c r="N269" s="3">
        <f>Loads!$L$269*Loads!$B$16</f>
        <v/>
      </c>
      <c r="O269" s="3">
        <f>Loads!$D$269*Loads!$N$269-Loads!$E$269*Loads!$M$269</f>
        <v/>
      </c>
      <c r="P269" s="3">
        <f>-Loads!$L$269*(Loads!$B$17+Loads!$B$19*(Loads!$E$269-Loads!$B$14))</f>
        <v/>
      </c>
      <c r="Q269" s="3">
        <f>-Loads!$L$269*(Loads!$B$18-Loads!$B$19*(Loads!$D$269-Loads!$B$13))</f>
        <v/>
      </c>
      <c r="R269" s="3">
        <f>Loads!$D$269*Loads!$Q$269-Loads!$E$269*Loads!$P$269</f>
        <v/>
      </c>
      <c r="S269" s="3">
        <f>IF(AND(Loads!$A$269=1,Loads!$B$26=51),-Loads!$B$24,0)</f>
        <v/>
      </c>
      <c r="T269" s="3">
        <f>IF(AND(Loads!$A$269=1,Loads!$B$27=51),Loads!$B$25,0)</f>
        <v/>
      </c>
      <c r="U269" s="3">
        <f>Loads!$D$269*Loads!$S$269-Loads!$E$269*Loads!$T$269</f>
        <v/>
      </c>
      <c r="V269" s="3">
        <f>IF(Loads!$A$269=1,SUMIFS(Loads!$P$153:$P$212,Inputs!$C$224:$C$283,Loads!$B$269)-SUMIFS(Loads!$P$153:$P$212,Inputs!$D$224:$D$283,Loads!$B$269),0)</f>
        <v/>
      </c>
      <c r="W269" s="3">
        <f>IF(Loads!$A$269=1,SUMIFS(Loads!$Q$153:$Q$212,Inputs!$C$224:$C$283,Loads!$B$269)-SUMIFS(Loads!$Q$153:$Q$212,Inputs!$D$224:$D$283,Loads!$B$269),0)</f>
        <v/>
      </c>
      <c r="X269" s="3">
        <f>Loads!$D$269*Loads!$W$269-Loads!$E$269*Loads!$V$269</f>
        <v/>
      </c>
      <c r="Y269" s="3">
        <f>IF(Loads!$A$269=1,SUMIFS(Loads!$R$153:$R$212,Inputs!$C$224:$C$283,Loads!$B$269)-SUMIFS(Loads!$R$153:$R$212,Inputs!$D$224:$D$283,Loads!$B$269),0)</f>
        <v/>
      </c>
      <c r="Z269" s="3">
        <f>IF(Loads!$A$269=1,SUMIFS(Loads!$S$153:$S$212,Inputs!$C$224:$C$283,Loads!$B$269)-SUMIFS(Loads!$S$153:$S$212,Inputs!$D$224:$D$283,Loads!$B$269),0)</f>
        <v/>
      </c>
      <c r="AA269" s="3">
        <f>Loads!$D$269*Loads!$Z$269-Loads!$E$269*Loads!$Y$269</f>
        <v/>
      </c>
      <c r="AB269" s="3">
        <f>Loads!$I$269+Loads!$M$269+Loads!$P$269+Loads!$V$269+Loads!$T$269</f>
        <v/>
      </c>
      <c r="AC269" s="3">
        <f>Loads!$J$269+Loads!$N$269+Loads!$Q$269+Loads!$W$269+Loads!$S$269</f>
        <v/>
      </c>
      <c r="AD269" s="3">
        <f>Loads!$K$269+Loads!$O$269+Loads!$R$269+Loads!$X$269+Loads!$U$269</f>
        <v/>
      </c>
    </row>
    <row r="270">
      <c r="A270" s="3">
        <f>Inputs!$A$189</f>
        <v/>
      </c>
      <c r="B270" s="3">
        <f>Geometry!$B$109</f>
        <v/>
      </c>
      <c r="C270" s="3">
        <f>IF(Loads!$A$270=1,Inputs!$C$189&amp;"","")</f>
        <v/>
      </c>
      <c r="D270" s="3">
        <f>Geometry!$K$109</f>
        <v/>
      </c>
      <c r="E270" s="3">
        <f>Geometry!$L$109</f>
        <v/>
      </c>
      <c r="F270" s="3">
        <f>IF(Loads!$A$270=1,SUMIFS(Loads!$V$153:$V$212,Inputs!$C$224:$C$283,Loads!$B$270)+SUMIFS(Loads!$V$153:$V$212,Inputs!$D$224:$D$283,Loads!$B$270),0)</f>
        <v/>
      </c>
      <c r="G270" s="3">
        <f>IF(Loads!$A$270=1,SUMIFS(Loads!$K$139:$K$146,Loads!$I$139:$I$146,Loads!$B$270),0)</f>
        <v/>
      </c>
      <c r="H270" s="3">
        <f>Loads!$F$270+Loads!$G$270</f>
        <v/>
      </c>
      <c r="I270" s="3">
        <f>Loads!$H$270*Loads!$B$15+(-Loads!$H$270*(Loads!$B$17+Loads!$B$19*(Loads!$E$270-Loads!$B$14)))</f>
        <v/>
      </c>
      <c r="J270" s="3">
        <f>Loads!$H$270*Loads!$B$16+(-Loads!$H$270*(Loads!$B$18-Loads!$B$19*(Loads!$D$270-Loads!$B$13)))</f>
        <v/>
      </c>
      <c r="K270" s="3">
        <f>Loads!$D$270*Loads!$J$270-Loads!$E$270*Loads!$I$270</f>
        <v/>
      </c>
      <c r="L270" s="3">
        <f>IF(Loads!$A$270=1,SUMIFS(Loads!$L$139:$L$146,Inputs!$D$304:$D$311,Loads!$B$270),0)</f>
        <v/>
      </c>
      <c r="M270" s="3">
        <f>Loads!$L$270*Loads!$B$15</f>
        <v/>
      </c>
      <c r="N270" s="3">
        <f>Loads!$L$270*Loads!$B$16</f>
        <v/>
      </c>
      <c r="O270" s="3">
        <f>Loads!$D$270*Loads!$N$270-Loads!$E$270*Loads!$M$270</f>
        <v/>
      </c>
      <c r="P270" s="3">
        <f>-Loads!$L$270*(Loads!$B$17+Loads!$B$19*(Loads!$E$270-Loads!$B$14))</f>
        <v/>
      </c>
      <c r="Q270" s="3">
        <f>-Loads!$L$270*(Loads!$B$18-Loads!$B$19*(Loads!$D$270-Loads!$B$13))</f>
        <v/>
      </c>
      <c r="R270" s="3">
        <f>Loads!$D$270*Loads!$Q$270-Loads!$E$270*Loads!$P$270</f>
        <v/>
      </c>
      <c r="S270" s="3">
        <f>IF(AND(Loads!$A$270=1,Loads!$B$26=52),-Loads!$B$24,0)</f>
        <v/>
      </c>
      <c r="T270" s="3">
        <f>IF(AND(Loads!$A$270=1,Loads!$B$27=52),Loads!$B$25,0)</f>
        <v/>
      </c>
      <c r="U270" s="3">
        <f>Loads!$D$270*Loads!$S$270-Loads!$E$270*Loads!$T$270</f>
        <v/>
      </c>
      <c r="V270" s="3">
        <f>IF(Loads!$A$270=1,SUMIFS(Loads!$P$153:$P$212,Inputs!$C$224:$C$283,Loads!$B$270)-SUMIFS(Loads!$P$153:$P$212,Inputs!$D$224:$D$283,Loads!$B$270),0)</f>
        <v/>
      </c>
      <c r="W270" s="3">
        <f>IF(Loads!$A$270=1,SUMIFS(Loads!$Q$153:$Q$212,Inputs!$C$224:$C$283,Loads!$B$270)-SUMIFS(Loads!$Q$153:$Q$212,Inputs!$D$224:$D$283,Loads!$B$270),0)</f>
        <v/>
      </c>
      <c r="X270" s="3">
        <f>Loads!$D$270*Loads!$W$270-Loads!$E$270*Loads!$V$270</f>
        <v/>
      </c>
      <c r="Y270" s="3">
        <f>IF(Loads!$A$270=1,SUMIFS(Loads!$R$153:$R$212,Inputs!$C$224:$C$283,Loads!$B$270)-SUMIFS(Loads!$R$153:$R$212,Inputs!$D$224:$D$283,Loads!$B$270),0)</f>
        <v/>
      </c>
      <c r="Z270" s="3">
        <f>IF(Loads!$A$270=1,SUMIFS(Loads!$S$153:$S$212,Inputs!$C$224:$C$283,Loads!$B$270)-SUMIFS(Loads!$S$153:$S$212,Inputs!$D$224:$D$283,Loads!$B$270),0)</f>
        <v/>
      </c>
      <c r="AA270" s="3">
        <f>Loads!$D$270*Loads!$Z$270-Loads!$E$270*Loads!$Y$270</f>
        <v/>
      </c>
      <c r="AB270" s="3">
        <f>Loads!$I$270+Loads!$M$270+Loads!$P$270+Loads!$V$270+Loads!$T$270</f>
        <v/>
      </c>
      <c r="AC270" s="3">
        <f>Loads!$J$270+Loads!$N$270+Loads!$Q$270+Loads!$W$270+Loads!$S$270</f>
        <v/>
      </c>
      <c r="AD270" s="3">
        <f>Loads!$K$270+Loads!$O$270+Loads!$R$270+Loads!$X$270+Loads!$U$270</f>
        <v/>
      </c>
    </row>
    <row r="271">
      <c r="A271" s="3">
        <f>Inputs!$A$190</f>
        <v/>
      </c>
      <c r="B271" s="3">
        <f>Geometry!$B$110</f>
        <v/>
      </c>
      <c r="C271" s="3">
        <f>IF(Loads!$A$271=1,Inputs!$C$190&amp;"","")</f>
        <v/>
      </c>
      <c r="D271" s="3">
        <f>Geometry!$K$110</f>
        <v/>
      </c>
      <c r="E271" s="3">
        <f>Geometry!$L$110</f>
        <v/>
      </c>
      <c r="F271" s="3">
        <f>IF(Loads!$A$271=1,SUMIFS(Loads!$V$153:$V$212,Inputs!$C$224:$C$283,Loads!$B$271)+SUMIFS(Loads!$V$153:$V$212,Inputs!$D$224:$D$283,Loads!$B$271),0)</f>
        <v/>
      </c>
      <c r="G271" s="3">
        <f>IF(Loads!$A$271=1,SUMIFS(Loads!$K$139:$K$146,Loads!$I$139:$I$146,Loads!$B$271),0)</f>
        <v/>
      </c>
      <c r="H271" s="3">
        <f>Loads!$F$271+Loads!$G$271</f>
        <v/>
      </c>
      <c r="I271" s="3">
        <f>Loads!$H$271*Loads!$B$15+(-Loads!$H$271*(Loads!$B$17+Loads!$B$19*(Loads!$E$271-Loads!$B$14)))</f>
        <v/>
      </c>
      <c r="J271" s="3">
        <f>Loads!$H$271*Loads!$B$16+(-Loads!$H$271*(Loads!$B$18-Loads!$B$19*(Loads!$D$271-Loads!$B$13)))</f>
        <v/>
      </c>
      <c r="K271" s="3">
        <f>Loads!$D$271*Loads!$J$271-Loads!$E$271*Loads!$I$271</f>
        <v/>
      </c>
      <c r="L271" s="3">
        <f>IF(Loads!$A$271=1,SUMIFS(Loads!$L$139:$L$146,Inputs!$D$304:$D$311,Loads!$B$271),0)</f>
        <v/>
      </c>
      <c r="M271" s="3">
        <f>Loads!$L$271*Loads!$B$15</f>
        <v/>
      </c>
      <c r="N271" s="3">
        <f>Loads!$L$271*Loads!$B$16</f>
        <v/>
      </c>
      <c r="O271" s="3">
        <f>Loads!$D$271*Loads!$N$271-Loads!$E$271*Loads!$M$271</f>
        <v/>
      </c>
      <c r="P271" s="3">
        <f>-Loads!$L$271*(Loads!$B$17+Loads!$B$19*(Loads!$E$271-Loads!$B$14))</f>
        <v/>
      </c>
      <c r="Q271" s="3">
        <f>-Loads!$L$271*(Loads!$B$18-Loads!$B$19*(Loads!$D$271-Loads!$B$13))</f>
        <v/>
      </c>
      <c r="R271" s="3">
        <f>Loads!$D$271*Loads!$Q$271-Loads!$E$271*Loads!$P$271</f>
        <v/>
      </c>
      <c r="S271" s="3">
        <f>IF(AND(Loads!$A$271=1,Loads!$B$26=53),-Loads!$B$24,0)</f>
        <v/>
      </c>
      <c r="T271" s="3">
        <f>IF(AND(Loads!$A$271=1,Loads!$B$27=53),Loads!$B$25,0)</f>
        <v/>
      </c>
      <c r="U271" s="3">
        <f>Loads!$D$271*Loads!$S$271-Loads!$E$271*Loads!$T$271</f>
        <v/>
      </c>
      <c r="V271" s="3">
        <f>IF(Loads!$A$271=1,SUMIFS(Loads!$P$153:$P$212,Inputs!$C$224:$C$283,Loads!$B$271)-SUMIFS(Loads!$P$153:$P$212,Inputs!$D$224:$D$283,Loads!$B$271),0)</f>
        <v/>
      </c>
      <c r="W271" s="3">
        <f>IF(Loads!$A$271=1,SUMIFS(Loads!$Q$153:$Q$212,Inputs!$C$224:$C$283,Loads!$B$271)-SUMIFS(Loads!$Q$153:$Q$212,Inputs!$D$224:$D$283,Loads!$B$271),0)</f>
        <v/>
      </c>
      <c r="X271" s="3">
        <f>Loads!$D$271*Loads!$W$271-Loads!$E$271*Loads!$V$271</f>
        <v/>
      </c>
      <c r="Y271" s="3">
        <f>IF(Loads!$A$271=1,SUMIFS(Loads!$R$153:$R$212,Inputs!$C$224:$C$283,Loads!$B$271)-SUMIFS(Loads!$R$153:$R$212,Inputs!$D$224:$D$283,Loads!$B$271),0)</f>
        <v/>
      </c>
      <c r="Z271" s="3">
        <f>IF(Loads!$A$271=1,SUMIFS(Loads!$S$153:$S$212,Inputs!$C$224:$C$283,Loads!$B$271)-SUMIFS(Loads!$S$153:$S$212,Inputs!$D$224:$D$283,Loads!$B$271),0)</f>
        <v/>
      </c>
      <c r="AA271" s="3">
        <f>Loads!$D$271*Loads!$Z$271-Loads!$E$271*Loads!$Y$271</f>
        <v/>
      </c>
      <c r="AB271" s="3">
        <f>Loads!$I$271+Loads!$M$271+Loads!$P$271+Loads!$V$271+Loads!$T$271</f>
        <v/>
      </c>
      <c r="AC271" s="3">
        <f>Loads!$J$271+Loads!$N$271+Loads!$Q$271+Loads!$W$271+Loads!$S$271</f>
        <v/>
      </c>
      <c r="AD271" s="3">
        <f>Loads!$K$271+Loads!$O$271+Loads!$R$271+Loads!$X$271+Loads!$U$271</f>
        <v/>
      </c>
    </row>
    <row r="272">
      <c r="A272" s="3">
        <f>Inputs!$A$191</f>
        <v/>
      </c>
      <c r="B272" s="3">
        <f>Geometry!$B$111</f>
        <v/>
      </c>
      <c r="C272" s="3">
        <f>IF(Loads!$A$272=1,Inputs!$C$191&amp;"","")</f>
        <v/>
      </c>
      <c r="D272" s="3">
        <f>Geometry!$K$111</f>
        <v/>
      </c>
      <c r="E272" s="3">
        <f>Geometry!$L$111</f>
        <v/>
      </c>
      <c r="F272" s="3">
        <f>IF(Loads!$A$272=1,SUMIFS(Loads!$V$153:$V$212,Inputs!$C$224:$C$283,Loads!$B$272)+SUMIFS(Loads!$V$153:$V$212,Inputs!$D$224:$D$283,Loads!$B$272),0)</f>
        <v/>
      </c>
      <c r="G272" s="3">
        <f>IF(Loads!$A$272=1,SUMIFS(Loads!$K$139:$K$146,Loads!$I$139:$I$146,Loads!$B$272),0)</f>
        <v/>
      </c>
      <c r="H272" s="3">
        <f>Loads!$F$272+Loads!$G$272</f>
        <v/>
      </c>
      <c r="I272" s="3">
        <f>Loads!$H$272*Loads!$B$15+(-Loads!$H$272*(Loads!$B$17+Loads!$B$19*(Loads!$E$272-Loads!$B$14)))</f>
        <v/>
      </c>
      <c r="J272" s="3">
        <f>Loads!$H$272*Loads!$B$16+(-Loads!$H$272*(Loads!$B$18-Loads!$B$19*(Loads!$D$272-Loads!$B$13)))</f>
        <v/>
      </c>
      <c r="K272" s="3">
        <f>Loads!$D$272*Loads!$J$272-Loads!$E$272*Loads!$I$272</f>
        <v/>
      </c>
      <c r="L272" s="3">
        <f>IF(Loads!$A$272=1,SUMIFS(Loads!$L$139:$L$146,Inputs!$D$304:$D$311,Loads!$B$272),0)</f>
        <v/>
      </c>
      <c r="M272" s="3">
        <f>Loads!$L$272*Loads!$B$15</f>
        <v/>
      </c>
      <c r="N272" s="3">
        <f>Loads!$L$272*Loads!$B$16</f>
        <v/>
      </c>
      <c r="O272" s="3">
        <f>Loads!$D$272*Loads!$N$272-Loads!$E$272*Loads!$M$272</f>
        <v/>
      </c>
      <c r="P272" s="3">
        <f>-Loads!$L$272*(Loads!$B$17+Loads!$B$19*(Loads!$E$272-Loads!$B$14))</f>
        <v/>
      </c>
      <c r="Q272" s="3">
        <f>-Loads!$L$272*(Loads!$B$18-Loads!$B$19*(Loads!$D$272-Loads!$B$13))</f>
        <v/>
      </c>
      <c r="R272" s="3">
        <f>Loads!$D$272*Loads!$Q$272-Loads!$E$272*Loads!$P$272</f>
        <v/>
      </c>
      <c r="S272" s="3">
        <f>IF(AND(Loads!$A$272=1,Loads!$B$26=54),-Loads!$B$24,0)</f>
        <v/>
      </c>
      <c r="T272" s="3">
        <f>IF(AND(Loads!$A$272=1,Loads!$B$27=54),Loads!$B$25,0)</f>
        <v/>
      </c>
      <c r="U272" s="3">
        <f>Loads!$D$272*Loads!$S$272-Loads!$E$272*Loads!$T$272</f>
        <v/>
      </c>
      <c r="V272" s="3">
        <f>IF(Loads!$A$272=1,SUMIFS(Loads!$P$153:$P$212,Inputs!$C$224:$C$283,Loads!$B$272)-SUMIFS(Loads!$P$153:$P$212,Inputs!$D$224:$D$283,Loads!$B$272),0)</f>
        <v/>
      </c>
      <c r="W272" s="3">
        <f>IF(Loads!$A$272=1,SUMIFS(Loads!$Q$153:$Q$212,Inputs!$C$224:$C$283,Loads!$B$272)-SUMIFS(Loads!$Q$153:$Q$212,Inputs!$D$224:$D$283,Loads!$B$272),0)</f>
        <v/>
      </c>
      <c r="X272" s="3">
        <f>Loads!$D$272*Loads!$W$272-Loads!$E$272*Loads!$V$272</f>
        <v/>
      </c>
      <c r="Y272" s="3">
        <f>IF(Loads!$A$272=1,SUMIFS(Loads!$R$153:$R$212,Inputs!$C$224:$C$283,Loads!$B$272)-SUMIFS(Loads!$R$153:$R$212,Inputs!$D$224:$D$283,Loads!$B$272),0)</f>
        <v/>
      </c>
      <c r="Z272" s="3">
        <f>IF(Loads!$A$272=1,SUMIFS(Loads!$S$153:$S$212,Inputs!$C$224:$C$283,Loads!$B$272)-SUMIFS(Loads!$S$153:$S$212,Inputs!$D$224:$D$283,Loads!$B$272),0)</f>
        <v/>
      </c>
      <c r="AA272" s="3">
        <f>Loads!$D$272*Loads!$Z$272-Loads!$E$272*Loads!$Y$272</f>
        <v/>
      </c>
      <c r="AB272" s="3">
        <f>Loads!$I$272+Loads!$M$272+Loads!$P$272+Loads!$V$272+Loads!$T$272</f>
        <v/>
      </c>
      <c r="AC272" s="3">
        <f>Loads!$J$272+Loads!$N$272+Loads!$Q$272+Loads!$W$272+Loads!$S$272</f>
        <v/>
      </c>
      <c r="AD272" s="3">
        <f>Loads!$K$272+Loads!$O$272+Loads!$R$272+Loads!$X$272+Loads!$U$272</f>
        <v/>
      </c>
    </row>
    <row r="273">
      <c r="A273" s="3">
        <f>Inputs!$A$192</f>
        <v/>
      </c>
      <c r="B273" s="3">
        <f>Geometry!$B$112</f>
        <v/>
      </c>
      <c r="C273" s="3">
        <f>IF(Loads!$A$273=1,Inputs!$C$192&amp;"","")</f>
        <v/>
      </c>
      <c r="D273" s="3">
        <f>Geometry!$K$112</f>
        <v/>
      </c>
      <c r="E273" s="3">
        <f>Geometry!$L$112</f>
        <v/>
      </c>
      <c r="F273" s="3">
        <f>IF(Loads!$A$273=1,SUMIFS(Loads!$V$153:$V$212,Inputs!$C$224:$C$283,Loads!$B$273)+SUMIFS(Loads!$V$153:$V$212,Inputs!$D$224:$D$283,Loads!$B$273),0)</f>
        <v/>
      </c>
      <c r="G273" s="3">
        <f>IF(Loads!$A$273=1,SUMIFS(Loads!$K$139:$K$146,Loads!$I$139:$I$146,Loads!$B$273),0)</f>
        <v/>
      </c>
      <c r="H273" s="3">
        <f>Loads!$F$273+Loads!$G$273</f>
        <v/>
      </c>
      <c r="I273" s="3">
        <f>Loads!$H$273*Loads!$B$15+(-Loads!$H$273*(Loads!$B$17+Loads!$B$19*(Loads!$E$273-Loads!$B$14)))</f>
        <v/>
      </c>
      <c r="J273" s="3">
        <f>Loads!$H$273*Loads!$B$16+(-Loads!$H$273*(Loads!$B$18-Loads!$B$19*(Loads!$D$273-Loads!$B$13)))</f>
        <v/>
      </c>
      <c r="K273" s="3">
        <f>Loads!$D$273*Loads!$J$273-Loads!$E$273*Loads!$I$273</f>
        <v/>
      </c>
      <c r="L273" s="3">
        <f>IF(Loads!$A$273=1,SUMIFS(Loads!$L$139:$L$146,Inputs!$D$304:$D$311,Loads!$B$273),0)</f>
        <v/>
      </c>
      <c r="M273" s="3">
        <f>Loads!$L$273*Loads!$B$15</f>
        <v/>
      </c>
      <c r="N273" s="3">
        <f>Loads!$L$273*Loads!$B$16</f>
        <v/>
      </c>
      <c r="O273" s="3">
        <f>Loads!$D$273*Loads!$N$273-Loads!$E$273*Loads!$M$273</f>
        <v/>
      </c>
      <c r="P273" s="3">
        <f>-Loads!$L$273*(Loads!$B$17+Loads!$B$19*(Loads!$E$273-Loads!$B$14))</f>
        <v/>
      </c>
      <c r="Q273" s="3">
        <f>-Loads!$L$273*(Loads!$B$18-Loads!$B$19*(Loads!$D$273-Loads!$B$13))</f>
        <v/>
      </c>
      <c r="R273" s="3">
        <f>Loads!$D$273*Loads!$Q$273-Loads!$E$273*Loads!$P$273</f>
        <v/>
      </c>
      <c r="S273" s="3">
        <f>IF(AND(Loads!$A$273=1,Loads!$B$26=55),-Loads!$B$24,0)</f>
        <v/>
      </c>
      <c r="T273" s="3">
        <f>IF(AND(Loads!$A$273=1,Loads!$B$27=55),Loads!$B$25,0)</f>
        <v/>
      </c>
      <c r="U273" s="3">
        <f>Loads!$D$273*Loads!$S$273-Loads!$E$273*Loads!$T$273</f>
        <v/>
      </c>
      <c r="V273" s="3">
        <f>IF(Loads!$A$273=1,SUMIFS(Loads!$P$153:$P$212,Inputs!$C$224:$C$283,Loads!$B$273)-SUMIFS(Loads!$P$153:$P$212,Inputs!$D$224:$D$283,Loads!$B$273),0)</f>
        <v/>
      </c>
      <c r="W273" s="3">
        <f>IF(Loads!$A$273=1,SUMIFS(Loads!$Q$153:$Q$212,Inputs!$C$224:$C$283,Loads!$B$273)-SUMIFS(Loads!$Q$153:$Q$212,Inputs!$D$224:$D$283,Loads!$B$273),0)</f>
        <v/>
      </c>
      <c r="X273" s="3">
        <f>Loads!$D$273*Loads!$W$273-Loads!$E$273*Loads!$V$273</f>
        <v/>
      </c>
      <c r="Y273" s="3">
        <f>IF(Loads!$A$273=1,SUMIFS(Loads!$R$153:$R$212,Inputs!$C$224:$C$283,Loads!$B$273)-SUMIFS(Loads!$R$153:$R$212,Inputs!$D$224:$D$283,Loads!$B$273),0)</f>
        <v/>
      </c>
      <c r="Z273" s="3">
        <f>IF(Loads!$A$273=1,SUMIFS(Loads!$S$153:$S$212,Inputs!$C$224:$C$283,Loads!$B$273)-SUMIFS(Loads!$S$153:$S$212,Inputs!$D$224:$D$283,Loads!$B$273),0)</f>
        <v/>
      </c>
      <c r="AA273" s="3">
        <f>Loads!$D$273*Loads!$Z$273-Loads!$E$273*Loads!$Y$273</f>
        <v/>
      </c>
      <c r="AB273" s="3">
        <f>Loads!$I$273+Loads!$M$273+Loads!$P$273+Loads!$V$273+Loads!$T$273</f>
        <v/>
      </c>
      <c r="AC273" s="3">
        <f>Loads!$J$273+Loads!$N$273+Loads!$Q$273+Loads!$W$273+Loads!$S$273</f>
        <v/>
      </c>
      <c r="AD273" s="3">
        <f>Loads!$K$273+Loads!$O$273+Loads!$R$273+Loads!$X$273+Loads!$U$273</f>
        <v/>
      </c>
    </row>
    <row r="274">
      <c r="A274" s="3">
        <f>Inputs!$A$193</f>
        <v/>
      </c>
      <c r="B274" s="3">
        <f>Geometry!$B$113</f>
        <v/>
      </c>
      <c r="C274" s="3">
        <f>IF(Loads!$A$274=1,Inputs!$C$193&amp;"","")</f>
        <v/>
      </c>
      <c r="D274" s="3">
        <f>Geometry!$K$113</f>
        <v/>
      </c>
      <c r="E274" s="3">
        <f>Geometry!$L$113</f>
        <v/>
      </c>
      <c r="F274" s="3">
        <f>IF(Loads!$A$274=1,SUMIFS(Loads!$V$153:$V$212,Inputs!$C$224:$C$283,Loads!$B$274)+SUMIFS(Loads!$V$153:$V$212,Inputs!$D$224:$D$283,Loads!$B$274),0)</f>
        <v/>
      </c>
      <c r="G274" s="3">
        <f>IF(Loads!$A$274=1,SUMIFS(Loads!$K$139:$K$146,Loads!$I$139:$I$146,Loads!$B$274),0)</f>
        <v/>
      </c>
      <c r="H274" s="3">
        <f>Loads!$F$274+Loads!$G$274</f>
        <v/>
      </c>
      <c r="I274" s="3">
        <f>Loads!$H$274*Loads!$B$15+(-Loads!$H$274*(Loads!$B$17+Loads!$B$19*(Loads!$E$274-Loads!$B$14)))</f>
        <v/>
      </c>
      <c r="J274" s="3">
        <f>Loads!$H$274*Loads!$B$16+(-Loads!$H$274*(Loads!$B$18-Loads!$B$19*(Loads!$D$274-Loads!$B$13)))</f>
        <v/>
      </c>
      <c r="K274" s="3">
        <f>Loads!$D$274*Loads!$J$274-Loads!$E$274*Loads!$I$274</f>
        <v/>
      </c>
      <c r="L274" s="3">
        <f>IF(Loads!$A$274=1,SUMIFS(Loads!$L$139:$L$146,Inputs!$D$304:$D$311,Loads!$B$274),0)</f>
        <v/>
      </c>
      <c r="M274" s="3">
        <f>Loads!$L$274*Loads!$B$15</f>
        <v/>
      </c>
      <c r="N274" s="3">
        <f>Loads!$L$274*Loads!$B$16</f>
        <v/>
      </c>
      <c r="O274" s="3">
        <f>Loads!$D$274*Loads!$N$274-Loads!$E$274*Loads!$M$274</f>
        <v/>
      </c>
      <c r="P274" s="3">
        <f>-Loads!$L$274*(Loads!$B$17+Loads!$B$19*(Loads!$E$274-Loads!$B$14))</f>
        <v/>
      </c>
      <c r="Q274" s="3">
        <f>-Loads!$L$274*(Loads!$B$18-Loads!$B$19*(Loads!$D$274-Loads!$B$13))</f>
        <v/>
      </c>
      <c r="R274" s="3">
        <f>Loads!$D$274*Loads!$Q$274-Loads!$E$274*Loads!$P$274</f>
        <v/>
      </c>
      <c r="S274" s="3">
        <f>IF(AND(Loads!$A$274=1,Loads!$B$26=56),-Loads!$B$24,0)</f>
        <v/>
      </c>
      <c r="T274" s="3">
        <f>IF(AND(Loads!$A$274=1,Loads!$B$27=56),Loads!$B$25,0)</f>
        <v/>
      </c>
      <c r="U274" s="3">
        <f>Loads!$D$274*Loads!$S$274-Loads!$E$274*Loads!$T$274</f>
        <v/>
      </c>
      <c r="V274" s="3">
        <f>IF(Loads!$A$274=1,SUMIFS(Loads!$P$153:$P$212,Inputs!$C$224:$C$283,Loads!$B$274)-SUMIFS(Loads!$P$153:$P$212,Inputs!$D$224:$D$283,Loads!$B$274),0)</f>
        <v/>
      </c>
      <c r="W274" s="3">
        <f>IF(Loads!$A$274=1,SUMIFS(Loads!$Q$153:$Q$212,Inputs!$C$224:$C$283,Loads!$B$274)-SUMIFS(Loads!$Q$153:$Q$212,Inputs!$D$224:$D$283,Loads!$B$274),0)</f>
        <v/>
      </c>
      <c r="X274" s="3">
        <f>Loads!$D$274*Loads!$W$274-Loads!$E$274*Loads!$V$274</f>
        <v/>
      </c>
      <c r="Y274" s="3">
        <f>IF(Loads!$A$274=1,SUMIFS(Loads!$R$153:$R$212,Inputs!$C$224:$C$283,Loads!$B$274)-SUMIFS(Loads!$R$153:$R$212,Inputs!$D$224:$D$283,Loads!$B$274),0)</f>
        <v/>
      </c>
      <c r="Z274" s="3">
        <f>IF(Loads!$A$274=1,SUMIFS(Loads!$S$153:$S$212,Inputs!$C$224:$C$283,Loads!$B$274)-SUMIFS(Loads!$S$153:$S$212,Inputs!$D$224:$D$283,Loads!$B$274),0)</f>
        <v/>
      </c>
      <c r="AA274" s="3">
        <f>Loads!$D$274*Loads!$Z$274-Loads!$E$274*Loads!$Y$274</f>
        <v/>
      </c>
      <c r="AB274" s="3">
        <f>Loads!$I$274+Loads!$M$274+Loads!$P$274+Loads!$V$274+Loads!$T$274</f>
        <v/>
      </c>
      <c r="AC274" s="3">
        <f>Loads!$J$274+Loads!$N$274+Loads!$Q$274+Loads!$W$274+Loads!$S$274</f>
        <v/>
      </c>
      <c r="AD274" s="3">
        <f>Loads!$K$274+Loads!$O$274+Loads!$R$274+Loads!$X$274+Loads!$U$274</f>
        <v/>
      </c>
    </row>
    <row r="275">
      <c r="A275" s="3">
        <f>Inputs!$A$194</f>
        <v/>
      </c>
      <c r="B275" s="3">
        <f>Geometry!$B$114</f>
        <v/>
      </c>
      <c r="C275" s="3">
        <f>IF(Loads!$A$275=1,Inputs!$C$194&amp;"","")</f>
        <v/>
      </c>
      <c r="D275" s="3">
        <f>Geometry!$K$114</f>
        <v/>
      </c>
      <c r="E275" s="3">
        <f>Geometry!$L$114</f>
        <v/>
      </c>
      <c r="F275" s="3">
        <f>IF(Loads!$A$275=1,SUMIFS(Loads!$V$153:$V$212,Inputs!$C$224:$C$283,Loads!$B$275)+SUMIFS(Loads!$V$153:$V$212,Inputs!$D$224:$D$283,Loads!$B$275),0)</f>
        <v/>
      </c>
      <c r="G275" s="3">
        <f>IF(Loads!$A$275=1,SUMIFS(Loads!$K$139:$K$146,Loads!$I$139:$I$146,Loads!$B$275),0)</f>
        <v/>
      </c>
      <c r="H275" s="3">
        <f>Loads!$F$275+Loads!$G$275</f>
        <v/>
      </c>
      <c r="I275" s="3">
        <f>Loads!$H$275*Loads!$B$15+(-Loads!$H$275*(Loads!$B$17+Loads!$B$19*(Loads!$E$275-Loads!$B$14)))</f>
        <v/>
      </c>
      <c r="J275" s="3">
        <f>Loads!$H$275*Loads!$B$16+(-Loads!$H$275*(Loads!$B$18-Loads!$B$19*(Loads!$D$275-Loads!$B$13)))</f>
        <v/>
      </c>
      <c r="K275" s="3">
        <f>Loads!$D$275*Loads!$J$275-Loads!$E$275*Loads!$I$275</f>
        <v/>
      </c>
      <c r="L275" s="3">
        <f>IF(Loads!$A$275=1,SUMIFS(Loads!$L$139:$L$146,Inputs!$D$304:$D$311,Loads!$B$275),0)</f>
        <v/>
      </c>
      <c r="M275" s="3">
        <f>Loads!$L$275*Loads!$B$15</f>
        <v/>
      </c>
      <c r="N275" s="3">
        <f>Loads!$L$275*Loads!$B$16</f>
        <v/>
      </c>
      <c r="O275" s="3">
        <f>Loads!$D$275*Loads!$N$275-Loads!$E$275*Loads!$M$275</f>
        <v/>
      </c>
      <c r="P275" s="3">
        <f>-Loads!$L$275*(Loads!$B$17+Loads!$B$19*(Loads!$E$275-Loads!$B$14))</f>
        <v/>
      </c>
      <c r="Q275" s="3">
        <f>-Loads!$L$275*(Loads!$B$18-Loads!$B$19*(Loads!$D$275-Loads!$B$13))</f>
        <v/>
      </c>
      <c r="R275" s="3">
        <f>Loads!$D$275*Loads!$Q$275-Loads!$E$275*Loads!$P$275</f>
        <v/>
      </c>
      <c r="S275" s="3">
        <f>IF(AND(Loads!$A$275=1,Loads!$B$26=57),-Loads!$B$24,0)</f>
        <v/>
      </c>
      <c r="T275" s="3">
        <f>IF(AND(Loads!$A$275=1,Loads!$B$27=57),Loads!$B$25,0)</f>
        <v/>
      </c>
      <c r="U275" s="3">
        <f>Loads!$D$275*Loads!$S$275-Loads!$E$275*Loads!$T$275</f>
        <v/>
      </c>
      <c r="V275" s="3">
        <f>IF(Loads!$A$275=1,SUMIFS(Loads!$P$153:$P$212,Inputs!$C$224:$C$283,Loads!$B$275)-SUMIFS(Loads!$P$153:$P$212,Inputs!$D$224:$D$283,Loads!$B$275),0)</f>
        <v/>
      </c>
      <c r="W275" s="3">
        <f>IF(Loads!$A$275=1,SUMIFS(Loads!$Q$153:$Q$212,Inputs!$C$224:$C$283,Loads!$B$275)-SUMIFS(Loads!$Q$153:$Q$212,Inputs!$D$224:$D$283,Loads!$B$275),0)</f>
        <v/>
      </c>
      <c r="X275" s="3">
        <f>Loads!$D$275*Loads!$W$275-Loads!$E$275*Loads!$V$275</f>
        <v/>
      </c>
      <c r="Y275" s="3">
        <f>IF(Loads!$A$275=1,SUMIFS(Loads!$R$153:$R$212,Inputs!$C$224:$C$283,Loads!$B$275)-SUMIFS(Loads!$R$153:$R$212,Inputs!$D$224:$D$283,Loads!$B$275),0)</f>
        <v/>
      </c>
      <c r="Z275" s="3">
        <f>IF(Loads!$A$275=1,SUMIFS(Loads!$S$153:$S$212,Inputs!$C$224:$C$283,Loads!$B$275)-SUMIFS(Loads!$S$153:$S$212,Inputs!$D$224:$D$283,Loads!$B$275),0)</f>
        <v/>
      </c>
      <c r="AA275" s="3">
        <f>Loads!$D$275*Loads!$Z$275-Loads!$E$275*Loads!$Y$275</f>
        <v/>
      </c>
      <c r="AB275" s="3">
        <f>Loads!$I$275+Loads!$M$275+Loads!$P$275+Loads!$V$275+Loads!$T$275</f>
        <v/>
      </c>
      <c r="AC275" s="3">
        <f>Loads!$J$275+Loads!$N$275+Loads!$Q$275+Loads!$W$275+Loads!$S$275</f>
        <v/>
      </c>
      <c r="AD275" s="3">
        <f>Loads!$K$275+Loads!$O$275+Loads!$R$275+Loads!$X$275+Loads!$U$275</f>
        <v/>
      </c>
    </row>
    <row r="276">
      <c r="A276" s="3">
        <f>Inputs!$A$195</f>
        <v/>
      </c>
      <c r="B276" s="3">
        <f>Geometry!$B$115</f>
        <v/>
      </c>
      <c r="C276" s="3">
        <f>IF(Loads!$A$276=1,Inputs!$C$195&amp;"","")</f>
        <v/>
      </c>
      <c r="D276" s="3">
        <f>Geometry!$K$115</f>
        <v/>
      </c>
      <c r="E276" s="3">
        <f>Geometry!$L$115</f>
        <v/>
      </c>
      <c r="F276" s="3">
        <f>IF(Loads!$A$276=1,SUMIFS(Loads!$V$153:$V$212,Inputs!$C$224:$C$283,Loads!$B$276)+SUMIFS(Loads!$V$153:$V$212,Inputs!$D$224:$D$283,Loads!$B$276),0)</f>
        <v/>
      </c>
      <c r="G276" s="3">
        <f>IF(Loads!$A$276=1,SUMIFS(Loads!$K$139:$K$146,Loads!$I$139:$I$146,Loads!$B$276),0)</f>
        <v/>
      </c>
      <c r="H276" s="3">
        <f>Loads!$F$276+Loads!$G$276</f>
        <v/>
      </c>
      <c r="I276" s="3">
        <f>Loads!$H$276*Loads!$B$15+(-Loads!$H$276*(Loads!$B$17+Loads!$B$19*(Loads!$E$276-Loads!$B$14)))</f>
        <v/>
      </c>
      <c r="J276" s="3">
        <f>Loads!$H$276*Loads!$B$16+(-Loads!$H$276*(Loads!$B$18-Loads!$B$19*(Loads!$D$276-Loads!$B$13)))</f>
        <v/>
      </c>
      <c r="K276" s="3">
        <f>Loads!$D$276*Loads!$J$276-Loads!$E$276*Loads!$I$276</f>
        <v/>
      </c>
      <c r="L276" s="3">
        <f>IF(Loads!$A$276=1,SUMIFS(Loads!$L$139:$L$146,Inputs!$D$304:$D$311,Loads!$B$276),0)</f>
        <v/>
      </c>
      <c r="M276" s="3">
        <f>Loads!$L$276*Loads!$B$15</f>
        <v/>
      </c>
      <c r="N276" s="3">
        <f>Loads!$L$276*Loads!$B$16</f>
        <v/>
      </c>
      <c r="O276" s="3">
        <f>Loads!$D$276*Loads!$N$276-Loads!$E$276*Loads!$M$276</f>
        <v/>
      </c>
      <c r="P276" s="3">
        <f>-Loads!$L$276*(Loads!$B$17+Loads!$B$19*(Loads!$E$276-Loads!$B$14))</f>
        <v/>
      </c>
      <c r="Q276" s="3">
        <f>-Loads!$L$276*(Loads!$B$18-Loads!$B$19*(Loads!$D$276-Loads!$B$13))</f>
        <v/>
      </c>
      <c r="R276" s="3">
        <f>Loads!$D$276*Loads!$Q$276-Loads!$E$276*Loads!$P$276</f>
        <v/>
      </c>
      <c r="S276" s="3">
        <f>IF(AND(Loads!$A$276=1,Loads!$B$26=58),-Loads!$B$24,0)</f>
        <v/>
      </c>
      <c r="T276" s="3">
        <f>IF(AND(Loads!$A$276=1,Loads!$B$27=58),Loads!$B$25,0)</f>
        <v/>
      </c>
      <c r="U276" s="3">
        <f>Loads!$D$276*Loads!$S$276-Loads!$E$276*Loads!$T$276</f>
        <v/>
      </c>
      <c r="V276" s="3">
        <f>IF(Loads!$A$276=1,SUMIFS(Loads!$P$153:$P$212,Inputs!$C$224:$C$283,Loads!$B$276)-SUMIFS(Loads!$P$153:$P$212,Inputs!$D$224:$D$283,Loads!$B$276),0)</f>
        <v/>
      </c>
      <c r="W276" s="3">
        <f>IF(Loads!$A$276=1,SUMIFS(Loads!$Q$153:$Q$212,Inputs!$C$224:$C$283,Loads!$B$276)-SUMIFS(Loads!$Q$153:$Q$212,Inputs!$D$224:$D$283,Loads!$B$276),0)</f>
        <v/>
      </c>
      <c r="X276" s="3">
        <f>Loads!$D$276*Loads!$W$276-Loads!$E$276*Loads!$V$276</f>
        <v/>
      </c>
      <c r="Y276" s="3">
        <f>IF(Loads!$A$276=1,SUMIFS(Loads!$R$153:$R$212,Inputs!$C$224:$C$283,Loads!$B$276)-SUMIFS(Loads!$R$153:$R$212,Inputs!$D$224:$D$283,Loads!$B$276),0)</f>
        <v/>
      </c>
      <c r="Z276" s="3">
        <f>IF(Loads!$A$276=1,SUMIFS(Loads!$S$153:$S$212,Inputs!$C$224:$C$283,Loads!$B$276)-SUMIFS(Loads!$S$153:$S$212,Inputs!$D$224:$D$283,Loads!$B$276),0)</f>
        <v/>
      </c>
      <c r="AA276" s="3">
        <f>Loads!$D$276*Loads!$Z$276-Loads!$E$276*Loads!$Y$276</f>
        <v/>
      </c>
      <c r="AB276" s="3">
        <f>Loads!$I$276+Loads!$M$276+Loads!$P$276+Loads!$V$276+Loads!$T$276</f>
        <v/>
      </c>
      <c r="AC276" s="3">
        <f>Loads!$J$276+Loads!$N$276+Loads!$Q$276+Loads!$W$276+Loads!$S$276</f>
        <v/>
      </c>
      <c r="AD276" s="3">
        <f>Loads!$K$276+Loads!$O$276+Loads!$R$276+Loads!$X$276+Loads!$U$276</f>
        <v/>
      </c>
    </row>
    <row r="277">
      <c r="A277" s="3">
        <f>Inputs!$A$196</f>
        <v/>
      </c>
      <c r="B277" s="3">
        <f>Geometry!$B$116</f>
        <v/>
      </c>
      <c r="C277" s="3">
        <f>IF(Loads!$A$277=1,Inputs!$C$196&amp;"","")</f>
        <v/>
      </c>
      <c r="D277" s="3">
        <f>Geometry!$K$116</f>
        <v/>
      </c>
      <c r="E277" s="3">
        <f>Geometry!$L$116</f>
        <v/>
      </c>
      <c r="F277" s="3">
        <f>IF(Loads!$A$277=1,SUMIFS(Loads!$V$153:$V$212,Inputs!$C$224:$C$283,Loads!$B$277)+SUMIFS(Loads!$V$153:$V$212,Inputs!$D$224:$D$283,Loads!$B$277),0)</f>
        <v/>
      </c>
      <c r="G277" s="3">
        <f>IF(Loads!$A$277=1,SUMIFS(Loads!$K$139:$K$146,Loads!$I$139:$I$146,Loads!$B$277),0)</f>
        <v/>
      </c>
      <c r="H277" s="3">
        <f>Loads!$F$277+Loads!$G$277</f>
        <v/>
      </c>
      <c r="I277" s="3">
        <f>Loads!$H$277*Loads!$B$15+(-Loads!$H$277*(Loads!$B$17+Loads!$B$19*(Loads!$E$277-Loads!$B$14)))</f>
        <v/>
      </c>
      <c r="J277" s="3">
        <f>Loads!$H$277*Loads!$B$16+(-Loads!$H$277*(Loads!$B$18-Loads!$B$19*(Loads!$D$277-Loads!$B$13)))</f>
        <v/>
      </c>
      <c r="K277" s="3">
        <f>Loads!$D$277*Loads!$J$277-Loads!$E$277*Loads!$I$277</f>
        <v/>
      </c>
      <c r="L277" s="3">
        <f>IF(Loads!$A$277=1,SUMIFS(Loads!$L$139:$L$146,Inputs!$D$304:$D$311,Loads!$B$277),0)</f>
        <v/>
      </c>
      <c r="M277" s="3">
        <f>Loads!$L$277*Loads!$B$15</f>
        <v/>
      </c>
      <c r="N277" s="3">
        <f>Loads!$L$277*Loads!$B$16</f>
        <v/>
      </c>
      <c r="O277" s="3">
        <f>Loads!$D$277*Loads!$N$277-Loads!$E$277*Loads!$M$277</f>
        <v/>
      </c>
      <c r="P277" s="3">
        <f>-Loads!$L$277*(Loads!$B$17+Loads!$B$19*(Loads!$E$277-Loads!$B$14))</f>
        <v/>
      </c>
      <c r="Q277" s="3">
        <f>-Loads!$L$277*(Loads!$B$18-Loads!$B$19*(Loads!$D$277-Loads!$B$13))</f>
        <v/>
      </c>
      <c r="R277" s="3">
        <f>Loads!$D$277*Loads!$Q$277-Loads!$E$277*Loads!$P$277</f>
        <v/>
      </c>
      <c r="S277" s="3">
        <f>IF(AND(Loads!$A$277=1,Loads!$B$26=59),-Loads!$B$24,0)</f>
        <v/>
      </c>
      <c r="T277" s="3">
        <f>IF(AND(Loads!$A$277=1,Loads!$B$27=59),Loads!$B$25,0)</f>
        <v/>
      </c>
      <c r="U277" s="3">
        <f>Loads!$D$277*Loads!$S$277-Loads!$E$277*Loads!$T$277</f>
        <v/>
      </c>
      <c r="V277" s="3">
        <f>IF(Loads!$A$277=1,SUMIFS(Loads!$P$153:$P$212,Inputs!$C$224:$C$283,Loads!$B$277)-SUMIFS(Loads!$P$153:$P$212,Inputs!$D$224:$D$283,Loads!$B$277),0)</f>
        <v/>
      </c>
      <c r="W277" s="3">
        <f>IF(Loads!$A$277=1,SUMIFS(Loads!$Q$153:$Q$212,Inputs!$C$224:$C$283,Loads!$B$277)-SUMIFS(Loads!$Q$153:$Q$212,Inputs!$D$224:$D$283,Loads!$B$277),0)</f>
        <v/>
      </c>
      <c r="X277" s="3">
        <f>Loads!$D$277*Loads!$W$277-Loads!$E$277*Loads!$V$277</f>
        <v/>
      </c>
      <c r="Y277" s="3">
        <f>IF(Loads!$A$277=1,SUMIFS(Loads!$R$153:$R$212,Inputs!$C$224:$C$283,Loads!$B$277)-SUMIFS(Loads!$R$153:$R$212,Inputs!$D$224:$D$283,Loads!$B$277),0)</f>
        <v/>
      </c>
      <c r="Z277" s="3">
        <f>IF(Loads!$A$277=1,SUMIFS(Loads!$S$153:$S$212,Inputs!$C$224:$C$283,Loads!$B$277)-SUMIFS(Loads!$S$153:$S$212,Inputs!$D$224:$D$283,Loads!$B$277),0)</f>
        <v/>
      </c>
      <c r="AA277" s="3">
        <f>Loads!$D$277*Loads!$Z$277-Loads!$E$277*Loads!$Y$277</f>
        <v/>
      </c>
      <c r="AB277" s="3">
        <f>Loads!$I$277+Loads!$M$277+Loads!$P$277+Loads!$V$277+Loads!$T$277</f>
        <v/>
      </c>
      <c r="AC277" s="3">
        <f>Loads!$J$277+Loads!$N$277+Loads!$Q$277+Loads!$W$277+Loads!$S$277</f>
        <v/>
      </c>
      <c r="AD277" s="3">
        <f>Loads!$K$277+Loads!$O$277+Loads!$R$277+Loads!$X$277+Loads!$U$277</f>
        <v/>
      </c>
    </row>
    <row r="278">
      <c r="A278" s="3">
        <f>Inputs!$A$197</f>
        <v/>
      </c>
      <c r="B278" s="3">
        <f>Geometry!$B$117</f>
        <v/>
      </c>
      <c r="C278" s="3">
        <f>IF(Loads!$A$278=1,Inputs!$C$197&amp;"","")</f>
        <v/>
      </c>
      <c r="D278" s="3">
        <f>Geometry!$K$117</f>
        <v/>
      </c>
      <c r="E278" s="3">
        <f>Geometry!$L$117</f>
        <v/>
      </c>
      <c r="F278" s="3">
        <f>IF(Loads!$A$278=1,SUMIFS(Loads!$V$153:$V$212,Inputs!$C$224:$C$283,Loads!$B$278)+SUMIFS(Loads!$V$153:$V$212,Inputs!$D$224:$D$283,Loads!$B$278),0)</f>
        <v/>
      </c>
      <c r="G278" s="3">
        <f>IF(Loads!$A$278=1,SUMIFS(Loads!$K$139:$K$146,Loads!$I$139:$I$146,Loads!$B$278),0)</f>
        <v/>
      </c>
      <c r="H278" s="3">
        <f>Loads!$F$278+Loads!$G$278</f>
        <v/>
      </c>
      <c r="I278" s="3">
        <f>Loads!$H$278*Loads!$B$15+(-Loads!$H$278*(Loads!$B$17+Loads!$B$19*(Loads!$E$278-Loads!$B$14)))</f>
        <v/>
      </c>
      <c r="J278" s="3">
        <f>Loads!$H$278*Loads!$B$16+(-Loads!$H$278*(Loads!$B$18-Loads!$B$19*(Loads!$D$278-Loads!$B$13)))</f>
        <v/>
      </c>
      <c r="K278" s="3">
        <f>Loads!$D$278*Loads!$J$278-Loads!$E$278*Loads!$I$278</f>
        <v/>
      </c>
      <c r="L278" s="3">
        <f>IF(Loads!$A$278=1,SUMIFS(Loads!$L$139:$L$146,Inputs!$D$304:$D$311,Loads!$B$278),0)</f>
        <v/>
      </c>
      <c r="M278" s="3">
        <f>Loads!$L$278*Loads!$B$15</f>
        <v/>
      </c>
      <c r="N278" s="3">
        <f>Loads!$L$278*Loads!$B$16</f>
        <v/>
      </c>
      <c r="O278" s="3">
        <f>Loads!$D$278*Loads!$N$278-Loads!$E$278*Loads!$M$278</f>
        <v/>
      </c>
      <c r="P278" s="3">
        <f>-Loads!$L$278*(Loads!$B$17+Loads!$B$19*(Loads!$E$278-Loads!$B$14))</f>
        <v/>
      </c>
      <c r="Q278" s="3">
        <f>-Loads!$L$278*(Loads!$B$18-Loads!$B$19*(Loads!$D$278-Loads!$B$13))</f>
        <v/>
      </c>
      <c r="R278" s="3">
        <f>Loads!$D$278*Loads!$Q$278-Loads!$E$278*Loads!$P$278</f>
        <v/>
      </c>
      <c r="S278" s="3">
        <f>IF(AND(Loads!$A$278=1,Loads!$B$26=60),-Loads!$B$24,0)</f>
        <v/>
      </c>
      <c r="T278" s="3">
        <f>IF(AND(Loads!$A$278=1,Loads!$B$27=60),Loads!$B$25,0)</f>
        <v/>
      </c>
      <c r="U278" s="3">
        <f>Loads!$D$278*Loads!$S$278-Loads!$E$278*Loads!$T$278</f>
        <v/>
      </c>
      <c r="V278" s="3">
        <f>IF(Loads!$A$278=1,SUMIFS(Loads!$P$153:$P$212,Inputs!$C$224:$C$283,Loads!$B$278)-SUMIFS(Loads!$P$153:$P$212,Inputs!$D$224:$D$283,Loads!$B$278),0)</f>
        <v/>
      </c>
      <c r="W278" s="3">
        <f>IF(Loads!$A$278=1,SUMIFS(Loads!$Q$153:$Q$212,Inputs!$C$224:$C$283,Loads!$B$278)-SUMIFS(Loads!$Q$153:$Q$212,Inputs!$D$224:$D$283,Loads!$B$278),0)</f>
        <v/>
      </c>
      <c r="X278" s="3">
        <f>Loads!$D$278*Loads!$W$278-Loads!$E$278*Loads!$V$278</f>
        <v/>
      </c>
      <c r="Y278" s="3">
        <f>IF(Loads!$A$278=1,SUMIFS(Loads!$R$153:$R$212,Inputs!$C$224:$C$283,Loads!$B$278)-SUMIFS(Loads!$R$153:$R$212,Inputs!$D$224:$D$283,Loads!$B$278),0)</f>
        <v/>
      </c>
      <c r="Z278" s="3">
        <f>IF(Loads!$A$278=1,SUMIFS(Loads!$S$153:$S$212,Inputs!$C$224:$C$283,Loads!$B$278)-SUMIFS(Loads!$S$153:$S$212,Inputs!$D$224:$D$283,Loads!$B$278),0)</f>
        <v/>
      </c>
      <c r="AA278" s="3">
        <f>Loads!$D$278*Loads!$Z$278-Loads!$E$278*Loads!$Y$278</f>
        <v/>
      </c>
      <c r="AB278" s="3">
        <f>Loads!$I$278+Loads!$M$278+Loads!$P$278+Loads!$V$278+Loads!$T$278</f>
        <v/>
      </c>
      <c r="AC278" s="3">
        <f>Loads!$J$278+Loads!$N$278+Loads!$Q$278+Loads!$W$278+Loads!$S$278</f>
        <v/>
      </c>
      <c r="AD278" s="3">
        <f>Loads!$K$278+Loads!$O$278+Loads!$R$278+Loads!$X$278+Loads!$U$278</f>
        <v/>
      </c>
    </row>
    <row r="279">
      <c r="A279" s="3">
        <f>Inputs!$A$198</f>
        <v/>
      </c>
      <c r="B279" s="3">
        <f>Geometry!$B$118</f>
        <v/>
      </c>
      <c r="C279" s="3">
        <f>IF(Loads!$A$279=1,Inputs!$C$198&amp;"","")</f>
        <v/>
      </c>
      <c r="D279" s="3">
        <f>Geometry!$K$118</f>
        <v/>
      </c>
      <c r="E279" s="3">
        <f>Geometry!$L$118</f>
        <v/>
      </c>
      <c r="F279" s="3">
        <f>IF(Loads!$A$279=1,SUMIFS(Loads!$V$153:$V$212,Inputs!$C$224:$C$283,Loads!$B$279)+SUMIFS(Loads!$V$153:$V$212,Inputs!$D$224:$D$283,Loads!$B$279),0)</f>
        <v/>
      </c>
      <c r="G279" s="3">
        <f>IF(Loads!$A$279=1,SUMIFS(Loads!$K$139:$K$146,Loads!$I$139:$I$146,Loads!$B$279),0)</f>
        <v/>
      </c>
      <c r="H279" s="3">
        <f>Loads!$F$279+Loads!$G$279</f>
        <v/>
      </c>
      <c r="I279" s="3">
        <f>Loads!$H$279*Loads!$B$15+(-Loads!$H$279*(Loads!$B$17+Loads!$B$19*(Loads!$E$279-Loads!$B$14)))</f>
        <v/>
      </c>
      <c r="J279" s="3">
        <f>Loads!$H$279*Loads!$B$16+(-Loads!$H$279*(Loads!$B$18-Loads!$B$19*(Loads!$D$279-Loads!$B$13)))</f>
        <v/>
      </c>
      <c r="K279" s="3">
        <f>Loads!$D$279*Loads!$J$279-Loads!$E$279*Loads!$I$279</f>
        <v/>
      </c>
      <c r="L279" s="3">
        <f>IF(Loads!$A$279=1,SUMIFS(Loads!$L$139:$L$146,Inputs!$D$304:$D$311,Loads!$B$279),0)</f>
        <v/>
      </c>
      <c r="M279" s="3">
        <f>Loads!$L$279*Loads!$B$15</f>
        <v/>
      </c>
      <c r="N279" s="3">
        <f>Loads!$L$279*Loads!$B$16</f>
        <v/>
      </c>
      <c r="O279" s="3">
        <f>Loads!$D$279*Loads!$N$279-Loads!$E$279*Loads!$M$279</f>
        <v/>
      </c>
      <c r="P279" s="3">
        <f>-Loads!$L$279*(Loads!$B$17+Loads!$B$19*(Loads!$E$279-Loads!$B$14))</f>
        <v/>
      </c>
      <c r="Q279" s="3">
        <f>-Loads!$L$279*(Loads!$B$18-Loads!$B$19*(Loads!$D$279-Loads!$B$13))</f>
        <v/>
      </c>
      <c r="R279" s="3">
        <f>Loads!$D$279*Loads!$Q$279-Loads!$E$279*Loads!$P$279</f>
        <v/>
      </c>
      <c r="S279" s="3">
        <f>IF(AND(Loads!$A$279=1,Loads!$B$26=61),-Loads!$B$24,0)</f>
        <v/>
      </c>
      <c r="T279" s="3">
        <f>IF(AND(Loads!$A$279=1,Loads!$B$27=61),Loads!$B$25,0)</f>
        <v/>
      </c>
      <c r="U279" s="3">
        <f>Loads!$D$279*Loads!$S$279-Loads!$E$279*Loads!$T$279</f>
        <v/>
      </c>
      <c r="V279" s="3">
        <f>IF(Loads!$A$279=1,SUMIFS(Loads!$P$153:$P$212,Inputs!$C$224:$C$283,Loads!$B$279)-SUMIFS(Loads!$P$153:$P$212,Inputs!$D$224:$D$283,Loads!$B$279),0)</f>
        <v/>
      </c>
      <c r="W279" s="3">
        <f>IF(Loads!$A$279=1,SUMIFS(Loads!$Q$153:$Q$212,Inputs!$C$224:$C$283,Loads!$B$279)-SUMIFS(Loads!$Q$153:$Q$212,Inputs!$D$224:$D$283,Loads!$B$279),0)</f>
        <v/>
      </c>
      <c r="X279" s="3">
        <f>Loads!$D$279*Loads!$W$279-Loads!$E$279*Loads!$V$279</f>
        <v/>
      </c>
      <c r="Y279" s="3">
        <f>IF(Loads!$A$279=1,SUMIFS(Loads!$R$153:$R$212,Inputs!$C$224:$C$283,Loads!$B$279)-SUMIFS(Loads!$R$153:$R$212,Inputs!$D$224:$D$283,Loads!$B$279),0)</f>
        <v/>
      </c>
      <c r="Z279" s="3">
        <f>IF(Loads!$A$279=1,SUMIFS(Loads!$S$153:$S$212,Inputs!$C$224:$C$283,Loads!$B$279)-SUMIFS(Loads!$S$153:$S$212,Inputs!$D$224:$D$283,Loads!$B$279),0)</f>
        <v/>
      </c>
      <c r="AA279" s="3">
        <f>Loads!$D$279*Loads!$Z$279-Loads!$E$279*Loads!$Y$279</f>
        <v/>
      </c>
      <c r="AB279" s="3">
        <f>Loads!$I$279+Loads!$M$279+Loads!$P$279+Loads!$V$279+Loads!$T$279</f>
        <v/>
      </c>
      <c r="AC279" s="3">
        <f>Loads!$J$279+Loads!$N$279+Loads!$Q$279+Loads!$W$279+Loads!$S$279</f>
        <v/>
      </c>
      <c r="AD279" s="3">
        <f>Loads!$K$279+Loads!$O$279+Loads!$R$279+Loads!$X$279+Loads!$U$279</f>
        <v/>
      </c>
    </row>
    <row r="280">
      <c r="A280" s="3">
        <f>Inputs!$A$199</f>
        <v/>
      </c>
      <c r="B280" s="3">
        <f>Geometry!$B$119</f>
        <v/>
      </c>
      <c r="C280" s="3">
        <f>IF(Loads!$A$280=1,Inputs!$C$199&amp;"","")</f>
        <v/>
      </c>
      <c r="D280" s="3">
        <f>Geometry!$K$119</f>
        <v/>
      </c>
      <c r="E280" s="3">
        <f>Geometry!$L$119</f>
        <v/>
      </c>
      <c r="F280" s="3">
        <f>IF(Loads!$A$280=1,SUMIFS(Loads!$V$153:$V$212,Inputs!$C$224:$C$283,Loads!$B$280)+SUMIFS(Loads!$V$153:$V$212,Inputs!$D$224:$D$283,Loads!$B$280),0)</f>
        <v/>
      </c>
      <c r="G280" s="3">
        <f>IF(Loads!$A$280=1,SUMIFS(Loads!$K$139:$K$146,Loads!$I$139:$I$146,Loads!$B$280),0)</f>
        <v/>
      </c>
      <c r="H280" s="3">
        <f>Loads!$F$280+Loads!$G$280</f>
        <v/>
      </c>
      <c r="I280" s="3">
        <f>Loads!$H$280*Loads!$B$15+(-Loads!$H$280*(Loads!$B$17+Loads!$B$19*(Loads!$E$280-Loads!$B$14)))</f>
        <v/>
      </c>
      <c r="J280" s="3">
        <f>Loads!$H$280*Loads!$B$16+(-Loads!$H$280*(Loads!$B$18-Loads!$B$19*(Loads!$D$280-Loads!$B$13)))</f>
        <v/>
      </c>
      <c r="K280" s="3">
        <f>Loads!$D$280*Loads!$J$280-Loads!$E$280*Loads!$I$280</f>
        <v/>
      </c>
      <c r="L280" s="3">
        <f>IF(Loads!$A$280=1,SUMIFS(Loads!$L$139:$L$146,Inputs!$D$304:$D$311,Loads!$B$280),0)</f>
        <v/>
      </c>
      <c r="M280" s="3">
        <f>Loads!$L$280*Loads!$B$15</f>
        <v/>
      </c>
      <c r="N280" s="3">
        <f>Loads!$L$280*Loads!$B$16</f>
        <v/>
      </c>
      <c r="O280" s="3">
        <f>Loads!$D$280*Loads!$N$280-Loads!$E$280*Loads!$M$280</f>
        <v/>
      </c>
      <c r="P280" s="3">
        <f>-Loads!$L$280*(Loads!$B$17+Loads!$B$19*(Loads!$E$280-Loads!$B$14))</f>
        <v/>
      </c>
      <c r="Q280" s="3">
        <f>-Loads!$L$280*(Loads!$B$18-Loads!$B$19*(Loads!$D$280-Loads!$B$13))</f>
        <v/>
      </c>
      <c r="R280" s="3">
        <f>Loads!$D$280*Loads!$Q$280-Loads!$E$280*Loads!$P$280</f>
        <v/>
      </c>
      <c r="S280" s="3">
        <f>IF(AND(Loads!$A$280=1,Loads!$B$26=62),-Loads!$B$24,0)</f>
        <v/>
      </c>
      <c r="T280" s="3">
        <f>IF(AND(Loads!$A$280=1,Loads!$B$27=62),Loads!$B$25,0)</f>
        <v/>
      </c>
      <c r="U280" s="3">
        <f>Loads!$D$280*Loads!$S$280-Loads!$E$280*Loads!$T$280</f>
        <v/>
      </c>
      <c r="V280" s="3">
        <f>IF(Loads!$A$280=1,SUMIFS(Loads!$P$153:$P$212,Inputs!$C$224:$C$283,Loads!$B$280)-SUMIFS(Loads!$P$153:$P$212,Inputs!$D$224:$D$283,Loads!$B$280),0)</f>
        <v/>
      </c>
      <c r="W280" s="3">
        <f>IF(Loads!$A$280=1,SUMIFS(Loads!$Q$153:$Q$212,Inputs!$C$224:$C$283,Loads!$B$280)-SUMIFS(Loads!$Q$153:$Q$212,Inputs!$D$224:$D$283,Loads!$B$280),0)</f>
        <v/>
      </c>
      <c r="X280" s="3">
        <f>Loads!$D$280*Loads!$W$280-Loads!$E$280*Loads!$V$280</f>
        <v/>
      </c>
      <c r="Y280" s="3">
        <f>IF(Loads!$A$280=1,SUMIFS(Loads!$R$153:$R$212,Inputs!$C$224:$C$283,Loads!$B$280)-SUMIFS(Loads!$R$153:$R$212,Inputs!$D$224:$D$283,Loads!$B$280),0)</f>
        <v/>
      </c>
      <c r="Z280" s="3">
        <f>IF(Loads!$A$280=1,SUMIFS(Loads!$S$153:$S$212,Inputs!$C$224:$C$283,Loads!$B$280)-SUMIFS(Loads!$S$153:$S$212,Inputs!$D$224:$D$283,Loads!$B$280),0)</f>
        <v/>
      </c>
      <c r="AA280" s="3">
        <f>Loads!$D$280*Loads!$Z$280-Loads!$E$280*Loads!$Y$280</f>
        <v/>
      </c>
      <c r="AB280" s="3">
        <f>Loads!$I$280+Loads!$M$280+Loads!$P$280+Loads!$V$280+Loads!$T$280</f>
        <v/>
      </c>
      <c r="AC280" s="3">
        <f>Loads!$J$280+Loads!$N$280+Loads!$Q$280+Loads!$W$280+Loads!$S$280</f>
        <v/>
      </c>
      <c r="AD280" s="3">
        <f>Loads!$K$280+Loads!$O$280+Loads!$R$280+Loads!$X$280+Loads!$U$280</f>
        <v/>
      </c>
    </row>
    <row r="281">
      <c r="A281" s="3">
        <f>Inputs!$A$200</f>
        <v/>
      </c>
      <c r="B281" s="3">
        <f>Geometry!$B$120</f>
        <v/>
      </c>
      <c r="C281" s="3">
        <f>IF(Loads!$A$281=1,Inputs!$C$200&amp;"","")</f>
        <v/>
      </c>
      <c r="D281" s="3">
        <f>Geometry!$K$120</f>
        <v/>
      </c>
      <c r="E281" s="3">
        <f>Geometry!$L$120</f>
        <v/>
      </c>
      <c r="F281" s="3">
        <f>IF(Loads!$A$281=1,SUMIFS(Loads!$V$153:$V$212,Inputs!$C$224:$C$283,Loads!$B$281)+SUMIFS(Loads!$V$153:$V$212,Inputs!$D$224:$D$283,Loads!$B$281),0)</f>
        <v/>
      </c>
      <c r="G281" s="3">
        <f>IF(Loads!$A$281=1,SUMIFS(Loads!$K$139:$K$146,Loads!$I$139:$I$146,Loads!$B$281),0)</f>
        <v/>
      </c>
      <c r="H281" s="3">
        <f>Loads!$F$281+Loads!$G$281</f>
        <v/>
      </c>
      <c r="I281" s="3">
        <f>Loads!$H$281*Loads!$B$15+(-Loads!$H$281*(Loads!$B$17+Loads!$B$19*(Loads!$E$281-Loads!$B$14)))</f>
        <v/>
      </c>
      <c r="J281" s="3">
        <f>Loads!$H$281*Loads!$B$16+(-Loads!$H$281*(Loads!$B$18-Loads!$B$19*(Loads!$D$281-Loads!$B$13)))</f>
        <v/>
      </c>
      <c r="K281" s="3">
        <f>Loads!$D$281*Loads!$J$281-Loads!$E$281*Loads!$I$281</f>
        <v/>
      </c>
      <c r="L281" s="3">
        <f>IF(Loads!$A$281=1,SUMIFS(Loads!$L$139:$L$146,Inputs!$D$304:$D$311,Loads!$B$281),0)</f>
        <v/>
      </c>
      <c r="M281" s="3">
        <f>Loads!$L$281*Loads!$B$15</f>
        <v/>
      </c>
      <c r="N281" s="3">
        <f>Loads!$L$281*Loads!$B$16</f>
        <v/>
      </c>
      <c r="O281" s="3">
        <f>Loads!$D$281*Loads!$N$281-Loads!$E$281*Loads!$M$281</f>
        <v/>
      </c>
      <c r="P281" s="3">
        <f>-Loads!$L$281*(Loads!$B$17+Loads!$B$19*(Loads!$E$281-Loads!$B$14))</f>
        <v/>
      </c>
      <c r="Q281" s="3">
        <f>-Loads!$L$281*(Loads!$B$18-Loads!$B$19*(Loads!$D$281-Loads!$B$13))</f>
        <v/>
      </c>
      <c r="R281" s="3">
        <f>Loads!$D$281*Loads!$Q$281-Loads!$E$281*Loads!$P$281</f>
        <v/>
      </c>
      <c r="S281" s="3">
        <f>IF(AND(Loads!$A$281=1,Loads!$B$26=63),-Loads!$B$24,0)</f>
        <v/>
      </c>
      <c r="T281" s="3">
        <f>IF(AND(Loads!$A$281=1,Loads!$B$27=63),Loads!$B$25,0)</f>
        <v/>
      </c>
      <c r="U281" s="3">
        <f>Loads!$D$281*Loads!$S$281-Loads!$E$281*Loads!$T$281</f>
        <v/>
      </c>
      <c r="V281" s="3">
        <f>IF(Loads!$A$281=1,SUMIFS(Loads!$P$153:$P$212,Inputs!$C$224:$C$283,Loads!$B$281)-SUMIFS(Loads!$P$153:$P$212,Inputs!$D$224:$D$283,Loads!$B$281),0)</f>
        <v/>
      </c>
      <c r="W281" s="3">
        <f>IF(Loads!$A$281=1,SUMIFS(Loads!$Q$153:$Q$212,Inputs!$C$224:$C$283,Loads!$B$281)-SUMIFS(Loads!$Q$153:$Q$212,Inputs!$D$224:$D$283,Loads!$B$281),0)</f>
        <v/>
      </c>
      <c r="X281" s="3">
        <f>Loads!$D$281*Loads!$W$281-Loads!$E$281*Loads!$V$281</f>
        <v/>
      </c>
      <c r="Y281" s="3">
        <f>IF(Loads!$A$281=1,SUMIFS(Loads!$R$153:$R$212,Inputs!$C$224:$C$283,Loads!$B$281)-SUMIFS(Loads!$R$153:$R$212,Inputs!$D$224:$D$283,Loads!$B$281),0)</f>
        <v/>
      </c>
      <c r="Z281" s="3">
        <f>IF(Loads!$A$281=1,SUMIFS(Loads!$S$153:$S$212,Inputs!$C$224:$C$283,Loads!$B$281)-SUMIFS(Loads!$S$153:$S$212,Inputs!$D$224:$D$283,Loads!$B$281),0)</f>
        <v/>
      </c>
      <c r="AA281" s="3">
        <f>Loads!$D$281*Loads!$Z$281-Loads!$E$281*Loads!$Y$281</f>
        <v/>
      </c>
      <c r="AB281" s="3">
        <f>Loads!$I$281+Loads!$M$281+Loads!$P$281+Loads!$V$281+Loads!$T$281</f>
        <v/>
      </c>
      <c r="AC281" s="3">
        <f>Loads!$J$281+Loads!$N$281+Loads!$Q$281+Loads!$W$281+Loads!$S$281</f>
        <v/>
      </c>
      <c r="AD281" s="3">
        <f>Loads!$K$281+Loads!$O$281+Loads!$R$281+Loads!$X$281+Loads!$U$281</f>
        <v/>
      </c>
    </row>
    <row r="282">
      <c r="A282" s="3">
        <f>Inputs!$A$201</f>
        <v/>
      </c>
      <c r="B282" s="3">
        <f>Geometry!$B$121</f>
        <v/>
      </c>
      <c r="C282" s="3">
        <f>IF(Loads!$A$282=1,Inputs!$C$201&amp;"","")</f>
        <v/>
      </c>
      <c r="D282" s="3">
        <f>Geometry!$K$121</f>
        <v/>
      </c>
      <c r="E282" s="3">
        <f>Geometry!$L$121</f>
        <v/>
      </c>
      <c r="F282" s="3">
        <f>IF(Loads!$A$282=1,SUMIFS(Loads!$V$153:$V$212,Inputs!$C$224:$C$283,Loads!$B$282)+SUMIFS(Loads!$V$153:$V$212,Inputs!$D$224:$D$283,Loads!$B$282),0)</f>
        <v/>
      </c>
      <c r="G282" s="3">
        <f>IF(Loads!$A$282=1,SUMIFS(Loads!$K$139:$K$146,Loads!$I$139:$I$146,Loads!$B$282),0)</f>
        <v/>
      </c>
      <c r="H282" s="3">
        <f>Loads!$F$282+Loads!$G$282</f>
        <v/>
      </c>
      <c r="I282" s="3">
        <f>Loads!$H$282*Loads!$B$15+(-Loads!$H$282*(Loads!$B$17+Loads!$B$19*(Loads!$E$282-Loads!$B$14)))</f>
        <v/>
      </c>
      <c r="J282" s="3">
        <f>Loads!$H$282*Loads!$B$16+(-Loads!$H$282*(Loads!$B$18-Loads!$B$19*(Loads!$D$282-Loads!$B$13)))</f>
        <v/>
      </c>
      <c r="K282" s="3">
        <f>Loads!$D$282*Loads!$J$282-Loads!$E$282*Loads!$I$282</f>
        <v/>
      </c>
      <c r="L282" s="3">
        <f>IF(Loads!$A$282=1,SUMIFS(Loads!$L$139:$L$146,Inputs!$D$304:$D$311,Loads!$B$282),0)</f>
        <v/>
      </c>
      <c r="M282" s="3">
        <f>Loads!$L$282*Loads!$B$15</f>
        <v/>
      </c>
      <c r="N282" s="3">
        <f>Loads!$L$282*Loads!$B$16</f>
        <v/>
      </c>
      <c r="O282" s="3">
        <f>Loads!$D$282*Loads!$N$282-Loads!$E$282*Loads!$M$282</f>
        <v/>
      </c>
      <c r="P282" s="3">
        <f>-Loads!$L$282*(Loads!$B$17+Loads!$B$19*(Loads!$E$282-Loads!$B$14))</f>
        <v/>
      </c>
      <c r="Q282" s="3">
        <f>-Loads!$L$282*(Loads!$B$18-Loads!$B$19*(Loads!$D$282-Loads!$B$13))</f>
        <v/>
      </c>
      <c r="R282" s="3">
        <f>Loads!$D$282*Loads!$Q$282-Loads!$E$282*Loads!$P$282</f>
        <v/>
      </c>
      <c r="S282" s="3">
        <f>IF(AND(Loads!$A$282=1,Loads!$B$26=64),-Loads!$B$24,0)</f>
        <v/>
      </c>
      <c r="T282" s="3">
        <f>IF(AND(Loads!$A$282=1,Loads!$B$27=64),Loads!$B$25,0)</f>
        <v/>
      </c>
      <c r="U282" s="3">
        <f>Loads!$D$282*Loads!$S$282-Loads!$E$282*Loads!$T$282</f>
        <v/>
      </c>
      <c r="V282" s="3">
        <f>IF(Loads!$A$282=1,SUMIFS(Loads!$P$153:$P$212,Inputs!$C$224:$C$283,Loads!$B$282)-SUMIFS(Loads!$P$153:$P$212,Inputs!$D$224:$D$283,Loads!$B$282),0)</f>
        <v/>
      </c>
      <c r="W282" s="3">
        <f>IF(Loads!$A$282=1,SUMIFS(Loads!$Q$153:$Q$212,Inputs!$C$224:$C$283,Loads!$B$282)-SUMIFS(Loads!$Q$153:$Q$212,Inputs!$D$224:$D$283,Loads!$B$282),0)</f>
        <v/>
      </c>
      <c r="X282" s="3">
        <f>Loads!$D$282*Loads!$W$282-Loads!$E$282*Loads!$V$282</f>
        <v/>
      </c>
      <c r="Y282" s="3">
        <f>IF(Loads!$A$282=1,SUMIFS(Loads!$R$153:$R$212,Inputs!$C$224:$C$283,Loads!$B$282)-SUMIFS(Loads!$R$153:$R$212,Inputs!$D$224:$D$283,Loads!$B$282),0)</f>
        <v/>
      </c>
      <c r="Z282" s="3">
        <f>IF(Loads!$A$282=1,SUMIFS(Loads!$S$153:$S$212,Inputs!$C$224:$C$283,Loads!$B$282)-SUMIFS(Loads!$S$153:$S$212,Inputs!$D$224:$D$283,Loads!$B$282),0)</f>
        <v/>
      </c>
      <c r="AA282" s="3">
        <f>Loads!$D$282*Loads!$Z$282-Loads!$E$282*Loads!$Y$282</f>
        <v/>
      </c>
      <c r="AB282" s="3">
        <f>Loads!$I$282+Loads!$M$282+Loads!$P$282+Loads!$V$282+Loads!$T$282</f>
        <v/>
      </c>
      <c r="AC282" s="3">
        <f>Loads!$J$282+Loads!$N$282+Loads!$Q$282+Loads!$W$282+Loads!$S$282</f>
        <v/>
      </c>
      <c r="AD282" s="3">
        <f>Loads!$K$282+Loads!$O$282+Loads!$R$282+Loads!$X$282+Loads!$U$282</f>
        <v/>
      </c>
    </row>
    <row r="283">
      <c r="A283" s="3">
        <f>Inputs!$A$202</f>
        <v/>
      </c>
      <c r="B283" s="3">
        <f>Geometry!$B$122</f>
        <v/>
      </c>
      <c r="C283" s="3">
        <f>IF(Loads!$A$283=1,Inputs!$C$202&amp;"","")</f>
        <v/>
      </c>
      <c r="D283" s="3">
        <f>Geometry!$K$122</f>
        <v/>
      </c>
      <c r="E283" s="3">
        <f>Geometry!$L$122</f>
        <v/>
      </c>
      <c r="F283" s="3">
        <f>IF(Loads!$A$283=1,SUMIFS(Loads!$V$153:$V$212,Inputs!$C$224:$C$283,Loads!$B$283)+SUMIFS(Loads!$V$153:$V$212,Inputs!$D$224:$D$283,Loads!$B$283),0)</f>
        <v/>
      </c>
      <c r="G283" s="3">
        <f>IF(Loads!$A$283=1,SUMIFS(Loads!$K$139:$K$146,Loads!$I$139:$I$146,Loads!$B$283),0)</f>
        <v/>
      </c>
      <c r="H283" s="3">
        <f>Loads!$F$283+Loads!$G$283</f>
        <v/>
      </c>
      <c r="I283" s="3">
        <f>Loads!$H$283*Loads!$B$15+(-Loads!$H$283*(Loads!$B$17+Loads!$B$19*(Loads!$E$283-Loads!$B$14)))</f>
        <v/>
      </c>
      <c r="J283" s="3">
        <f>Loads!$H$283*Loads!$B$16+(-Loads!$H$283*(Loads!$B$18-Loads!$B$19*(Loads!$D$283-Loads!$B$13)))</f>
        <v/>
      </c>
      <c r="K283" s="3">
        <f>Loads!$D$283*Loads!$J$283-Loads!$E$283*Loads!$I$283</f>
        <v/>
      </c>
      <c r="L283" s="3">
        <f>IF(Loads!$A$283=1,SUMIFS(Loads!$L$139:$L$146,Inputs!$D$304:$D$311,Loads!$B$283),0)</f>
        <v/>
      </c>
      <c r="M283" s="3">
        <f>Loads!$L$283*Loads!$B$15</f>
        <v/>
      </c>
      <c r="N283" s="3">
        <f>Loads!$L$283*Loads!$B$16</f>
        <v/>
      </c>
      <c r="O283" s="3">
        <f>Loads!$D$283*Loads!$N$283-Loads!$E$283*Loads!$M$283</f>
        <v/>
      </c>
      <c r="P283" s="3">
        <f>-Loads!$L$283*(Loads!$B$17+Loads!$B$19*(Loads!$E$283-Loads!$B$14))</f>
        <v/>
      </c>
      <c r="Q283" s="3">
        <f>-Loads!$L$283*(Loads!$B$18-Loads!$B$19*(Loads!$D$283-Loads!$B$13))</f>
        <v/>
      </c>
      <c r="R283" s="3">
        <f>Loads!$D$283*Loads!$Q$283-Loads!$E$283*Loads!$P$283</f>
        <v/>
      </c>
      <c r="S283" s="3">
        <f>IF(AND(Loads!$A$283=1,Loads!$B$26=65),-Loads!$B$24,0)</f>
        <v/>
      </c>
      <c r="T283" s="3">
        <f>IF(AND(Loads!$A$283=1,Loads!$B$27=65),Loads!$B$25,0)</f>
        <v/>
      </c>
      <c r="U283" s="3">
        <f>Loads!$D$283*Loads!$S$283-Loads!$E$283*Loads!$T$283</f>
        <v/>
      </c>
      <c r="V283" s="3">
        <f>IF(Loads!$A$283=1,SUMIFS(Loads!$P$153:$P$212,Inputs!$C$224:$C$283,Loads!$B$283)-SUMIFS(Loads!$P$153:$P$212,Inputs!$D$224:$D$283,Loads!$B$283),0)</f>
        <v/>
      </c>
      <c r="W283" s="3">
        <f>IF(Loads!$A$283=1,SUMIFS(Loads!$Q$153:$Q$212,Inputs!$C$224:$C$283,Loads!$B$283)-SUMIFS(Loads!$Q$153:$Q$212,Inputs!$D$224:$D$283,Loads!$B$283),0)</f>
        <v/>
      </c>
      <c r="X283" s="3">
        <f>Loads!$D$283*Loads!$W$283-Loads!$E$283*Loads!$V$283</f>
        <v/>
      </c>
      <c r="Y283" s="3">
        <f>IF(Loads!$A$283=1,SUMIFS(Loads!$R$153:$R$212,Inputs!$C$224:$C$283,Loads!$B$283)-SUMIFS(Loads!$R$153:$R$212,Inputs!$D$224:$D$283,Loads!$B$283),0)</f>
        <v/>
      </c>
      <c r="Z283" s="3">
        <f>IF(Loads!$A$283=1,SUMIFS(Loads!$S$153:$S$212,Inputs!$C$224:$C$283,Loads!$B$283)-SUMIFS(Loads!$S$153:$S$212,Inputs!$D$224:$D$283,Loads!$B$283),0)</f>
        <v/>
      </c>
      <c r="AA283" s="3">
        <f>Loads!$D$283*Loads!$Z$283-Loads!$E$283*Loads!$Y$283</f>
        <v/>
      </c>
      <c r="AB283" s="3">
        <f>Loads!$I$283+Loads!$M$283+Loads!$P$283+Loads!$V$283+Loads!$T$283</f>
        <v/>
      </c>
      <c r="AC283" s="3">
        <f>Loads!$J$283+Loads!$N$283+Loads!$Q$283+Loads!$W$283+Loads!$S$283</f>
        <v/>
      </c>
      <c r="AD283" s="3">
        <f>Loads!$K$283+Loads!$O$283+Loads!$R$283+Loads!$X$283+Loads!$U$283</f>
        <v/>
      </c>
    </row>
    <row r="284">
      <c r="A284" s="3">
        <f>Inputs!$A$203</f>
        <v/>
      </c>
      <c r="B284" s="3">
        <f>Geometry!$B$123</f>
        <v/>
      </c>
      <c r="C284" s="3">
        <f>IF(Loads!$A$284=1,Inputs!$C$203&amp;"","")</f>
        <v/>
      </c>
      <c r="D284" s="3">
        <f>Geometry!$K$123</f>
        <v/>
      </c>
      <c r="E284" s="3">
        <f>Geometry!$L$123</f>
        <v/>
      </c>
      <c r="F284" s="3">
        <f>IF(Loads!$A$284=1,SUMIFS(Loads!$V$153:$V$212,Inputs!$C$224:$C$283,Loads!$B$284)+SUMIFS(Loads!$V$153:$V$212,Inputs!$D$224:$D$283,Loads!$B$284),0)</f>
        <v/>
      </c>
      <c r="G284" s="3">
        <f>IF(Loads!$A$284=1,SUMIFS(Loads!$K$139:$K$146,Loads!$I$139:$I$146,Loads!$B$284),0)</f>
        <v/>
      </c>
      <c r="H284" s="3">
        <f>Loads!$F$284+Loads!$G$284</f>
        <v/>
      </c>
      <c r="I284" s="3">
        <f>Loads!$H$284*Loads!$B$15+(-Loads!$H$284*(Loads!$B$17+Loads!$B$19*(Loads!$E$284-Loads!$B$14)))</f>
        <v/>
      </c>
      <c r="J284" s="3">
        <f>Loads!$H$284*Loads!$B$16+(-Loads!$H$284*(Loads!$B$18-Loads!$B$19*(Loads!$D$284-Loads!$B$13)))</f>
        <v/>
      </c>
      <c r="K284" s="3">
        <f>Loads!$D$284*Loads!$J$284-Loads!$E$284*Loads!$I$284</f>
        <v/>
      </c>
      <c r="L284" s="3">
        <f>IF(Loads!$A$284=1,SUMIFS(Loads!$L$139:$L$146,Inputs!$D$304:$D$311,Loads!$B$284),0)</f>
        <v/>
      </c>
      <c r="M284" s="3">
        <f>Loads!$L$284*Loads!$B$15</f>
        <v/>
      </c>
      <c r="N284" s="3">
        <f>Loads!$L$284*Loads!$B$16</f>
        <v/>
      </c>
      <c r="O284" s="3">
        <f>Loads!$D$284*Loads!$N$284-Loads!$E$284*Loads!$M$284</f>
        <v/>
      </c>
      <c r="P284" s="3">
        <f>-Loads!$L$284*(Loads!$B$17+Loads!$B$19*(Loads!$E$284-Loads!$B$14))</f>
        <v/>
      </c>
      <c r="Q284" s="3">
        <f>-Loads!$L$284*(Loads!$B$18-Loads!$B$19*(Loads!$D$284-Loads!$B$13))</f>
        <v/>
      </c>
      <c r="R284" s="3">
        <f>Loads!$D$284*Loads!$Q$284-Loads!$E$284*Loads!$P$284</f>
        <v/>
      </c>
      <c r="S284" s="3">
        <f>IF(AND(Loads!$A$284=1,Loads!$B$26=66),-Loads!$B$24,0)</f>
        <v/>
      </c>
      <c r="T284" s="3">
        <f>IF(AND(Loads!$A$284=1,Loads!$B$27=66),Loads!$B$25,0)</f>
        <v/>
      </c>
      <c r="U284" s="3">
        <f>Loads!$D$284*Loads!$S$284-Loads!$E$284*Loads!$T$284</f>
        <v/>
      </c>
      <c r="V284" s="3">
        <f>IF(Loads!$A$284=1,SUMIFS(Loads!$P$153:$P$212,Inputs!$C$224:$C$283,Loads!$B$284)-SUMIFS(Loads!$P$153:$P$212,Inputs!$D$224:$D$283,Loads!$B$284),0)</f>
        <v/>
      </c>
      <c r="W284" s="3">
        <f>IF(Loads!$A$284=1,SUMIFS(Loads!$Q$153:$Q$212,Inputs!$C$224:$C$283,Loads!$B$284)-SUMIFS(Loads!$Q$153:$Q$212,Inputs!$D$224:$D$283,Loads!$B$284),0)</f>
        <v/>
      </c>
      <c r="X284" s="3">
        <f>Loads!$D$284*Loads!$W$284-Loads!$E$284*Loads!$V$284</f>
        <v/>
      </c>
      <c r="Y284" s="3">
        <f>IF(Loads!$A$284=1,SUMIFS(Loads!$R$153:$R$212,Inputs!$C$224:$C$283,Loads!$B$284)-SUMIFS(Loads!$R$153:$R$212,Inputs!$D$224:$D$283,Loads!$B$284),0)</f>
        <v/>
      </c>
      <c r="Z284" s="3">
        <f>IF(Loads!$A$284=1,SUMIFS(Loads!$S$153:$S$212,Inputs!$C$224:$C$283,Loads!$B$284)-SUMIFS(Loads!$S$153:$S$212,Inputs!$D$224:$D$283,Loads!$B$284),0)</f>
        <v/>
      </c>
      <c r="AA284" s="3">
        <f>Loads!$D$284*Loads!$Z$284-Loads!$E$284*Loads!$Y$284</f>
        <v/>
      </c>
      <c r="AB284" s="3">
        <f>Loads!$I$284+Loads!$M$284+Loads!$P$284+Loads!$V$284+Loads!$T$284</f>
        <v/>
      </c>
      <c r="AC284" s="3">
        <f>Loads!$J$284+Loads!$N$284+Loads!$Q$284+Loads!$W$284+Loads!$S$284</f>
        <v/>
      </c>
      <c r="AD284" s="3">
        <f>Loads!$K$284+Loads!$O$284+Loads!$R$284+Loads!$X$284+Loads!$U$284</f>
        <v/>
      </c>
    </row>
    <row r="285">
      <c r="A285" s="3">
        <f>Inputs!$A$204</f>
        <v/>
      </c>
      <c r="B285" s="3">
        <f>Geometry!$B$124</f>
        <v/>
      </c>
      <c r="C285" s="3">
        <f>IF(Loads!$A$285=1,Inputs!$C$204&amp;"","")</f>
        <v/>
      </c>
      <c r="D285" s="3">
        <f>Geometry!$K$124</f>
        <v/>
      </c>
      <c r="E285" s="3">
        <f>Geometry!$L$124</f>
        <v/>
      </c>
      <c r="F285" s="3">
        <f>IF(Loads!$A$285=1,SUMIFS(Loads!$V$153:$V$212,Inputs!$C$224:$C$283,Loads!$B$285)+SUMIFS(Loads!$V$153:$V$212,Inputs!$D$224:$D$283,Loads!$B$285),0)</f>
        <v/>
      </c>
      <c r="G285" s="3">
        <f>IF(Loads!$A$285=1,SUMIFS(Loads!$K$139:$K$146,Loads!$I$139:$I$146,Loads!$B$285),0)</f>
        <v/>
      </c>
      <c r="H285" s="3">
        <f>Loads!$F$285+Loads!$G$285</f>
        <v/>
      </c>
      <c r="I285" s="3">
        <f>Loads!$H$285*Loads!$B$15+(-Loads!$H$285*(Loads!$B$17+Loads!$B$19*(Loads!$E$285-Loads!$B$14)))</f>
        <v/>
      </c>
      <c r="J285" s="3">
        <f>Loads!$H$285*Loads!$B$16+(-Loads!$H$285*(Loads!$B$18-Loads!$B$19*(Loads!$D$285-Loads!$B$13)))</f>
        <v/>
      </c>
      <c r="K285" s="3">
        <f>Loads!$D$285*Loads!$J$285-Loads!$E$285*Loads!$I$285</f>
        <v/>
      </c>
      <c r="L285" s="3">
        <f>IF(Loads!$A$285=1,SUMIFS(Loads!$L$139:$L$146,Inputs!$D$304:$D$311,Loads!$B$285),0)</f>
        <v/>
      </c>
      <c r="M285" s="3">
        <f>Loads!$L$285*Loads!$B$15</f>
        <v/>
      </c>
      <c r="N285" s="3">
        <f>Loads!$L$285*Loads!$B$16</f>
        <v/>
      </c>
      <c r="O285" s="3">
        <f>Loads!$D$285*Loads!$N$285-Loads!$E$285*Loads!$M$285</f>
        <v/>
      </c>
      <c r="P285" s="3">
        <f>-Loads!$L$285*(Loads!$B$17+Loads!$B$19*(Loads!$E$285-Loads!$B$14))</f>
        <v/>
      </c>
      <c r="Q285" s="3">
        <f>-Loads!$L$285*(Loads!$B$18-Loads!$B$19*(Loads!$D$285-Loads!$B$13))</f>
        <v/>
      </c>
      <c r="R285" s="3">
        <f>Loads!$D$285*Loads!$Q$285-Loads!$E$285*Loads!$P$285</f>
        <v/>
      </c>
      <c r="S285" s="3">
        <f>IF(AND(Loads!$A$285=1,Loads!$B$26=67),-Loads!$B$24,0)</f>
        <v/>
      </c>
      <c r="T285" s="3">
        <f>IF(AND(Loads!$A$285=1,Loads!$B$27=67),Loads!$B$25,0)</f>
        <v/>
      </c>
      <c r="U285" s="3">
        <f>Loads!$D$285*Loads!$S$285-Loads!$E$285*Loads!$T$285</f>
        <v/>
      </c>
      <c r="V285" s="3">
        <f>IF(Loads!$A$285=1,SUMIFS(Loads!$P$153:$P$212,Inputs!$C$224:$C$283,Loads!$B$285)-SUMIFS(Loads!$P$153:$P$212,Inputs!$D$224:$D$283,Loads!$B$285),0)</f>
        <v/>
      </c>
      <c r="W285" s="3">
        <f>IF(Loads!$A$285=1,SUMIFS(Loads!$Q$153:$Q$212,Inputs!$C$224:$C$283,Loads!$B$285)-SUMIFS(Loads!$Q$153:$Q$212,Inputs!$D$224:$D$283,Loads!$B$285),0)</f>
        <v/>
      </c>
      <c r="X285" s="3">
        <f>Loads!$D$285*Loads!$W$285-Loads!$E$285*Loads!$V$285</f>
        <v/>
      </c>
      <c r="Y285" s="3">
        <f>IF(Loads!$A$285=1,SUMIFS(Loads!$R$153:$R$212,Inputs!$C$224:$C$283,Loads!$B$285)-SUMIFS(Loads!$R$153:$R$212,Inputs!$D$224:$D$283,Loads!$B$285),0)</f>
        <v/>
      </c>
      <c r="Z285" s="3">
        <f>IF(Loads!$A$285=1,SUMIFS(Loads!$S$153:$S$212,Inputs!$C$224:$C$283,Loads!$B$285)-SUMIFS(Loads!$S$153:$S$212,Inputs!$D$224:$D$283,Loads!$B$285),0)</f>
        <v/>
      </c>
      <c r="AA285" s="3">
        <f>Loads!$D$285*Loads!$Z$285-Loads!$E$285*Loads!$Y$285</f>
        <v/>
      </c>
      <c r="AB285" s="3">
        <f>Loads!$I$285+Loads!$M$285+Loads!$P$285+Loads!$V$285+Loads!$T$285</f>
        <v/>
      </c>
      <c r="AC285" s="3">
        <f>Loads!$J$285+Loads!$N$285+Loads!$Q$285+Loads!$W$285+Loads!$S$285</f>
        <v/>
      </c>
      <c r="AD285" s="3">
        <f>Loads!$K$285+Loads!$O$285+Loads!$R$285+Loads!$X$285+Loads!$U$285</f>
        <v/>
      </c>
    </row>
    <row r="286">
      <c r="A286" s="3">
        <f>Inputs!$A$205</f>
        <v/>
      </c>
      <c r="B286" s="3">
        <f>Geometry!$B$125</f>
        <v/>
      </c>
      <c r="C286" s="3">
        <f>IF(Loads!$A$286=1,Inputs!$C$205&amp;"","")</f>
        <v/>
      </c>
      <c r="D286" s="3">
        <f>Geometry!$K$125</f>
        <v/>
      </c>
      <c r="E286" s="3">
        <f>Geometry!$L$125</f>
        <v/>
      </c>
      <c r="F286" s="3">
        <f>IF(Loads!$A$286=1,SUMIFS(Loads!$V$153:$V$212,Inputs!$C$224:$C$283,Loads!$B$286)+SUMIFS(Loads!$V$153:$V$212,Inputs!$D$224:$D$283,Loads!$B$286),0)</f>
        <v/>
      </c>
      <c r="G286" s="3">
        <f>IF(Loads!$A$286=1,SUMIFS(Loads!$K$139:$K$146,Loads!$I$139:$I$146,Loads!$B$286),0)</f>
        <v/>
      </c>
      <c r="H286" s="3">
        <f>Loads!$F$286+Loads!$G$286</f>
        <v/>
      </c>
      <c r="I286" s="3">
        <f>Loads!$H$286*Loads!$B$15+(-Loads!$H$286*(Loads!$B$17+Loads!$B$19*(Loads!$E$286-Loads!$B$14)))</f>
        <v/>
      </c>
      <c r="J286" s="3">
        <f>Loads!$H$286*Loads!$B$16+(-Loads!$H$286*(Loads!$B$18-Loads!$B$19*(Loads!$D$286-Loads!$B$13)))</f>
        <v/>
      </c>
      <c r="K286" s="3">
        <f>Loads!$D$286*Loads!$J$286-Loads!$E$286*Loads!$I$286</f>
        <v/>
      </c>
      <c r="L286" s="3">
        <f>IF(Loads!$A$286=1,SUMIFS(Loads!$L$139:$L$146,Inputs!$D$304:$D$311,Loads!$B$286),0)</f>
        <v/>
      </c>
      <c r="M286" s="3">
        <f>Loads!$L$286*Loads!$B$15</f>
        <v/>
      </c>
      <c r="N286" s="3">
        <f>Loads!$L$286*Loads!$B$16</f>
        <v/>
      </c>
      <c r="O286" s="3">
        <f>Loads!$D$286*Loads!$N$286-Loads!$E$286*Loads!$M$286</f>
        <v/>
      </c>
      <c r="P286" s="3">
        <f>-Loads!$L$286*(Loads!$B$17+Loads!$B$19*(Loads!$E$286-Loads!$B$14))</f>
        <v/>
      </c>
      <c r="Q286" s="3">
        <f>-Loads!$L$286*(Loads!$B$18-Loads!$B$19*(Loads!$D$286-Loads!$B$13))</f>
        <v/>
      </c>
      <c r="R286" s="3">
        <f>Loads!$D$286*Loads!$Q$286-Loads!$E$286*Loads!$P$286</f>
        <v/>
      </c>
      <c r="S286" s="3">
        <f>IF(AND(Loads!$A$286=1,Loads!$B$26=68),-Loads!$B$24,0)</f>
        <v/>
      </c>
      <c r="T286" s="3">
        <f>IF(AND(Loads!$A$286=1,Loads!$B$27=68),Loads!$B$25,0)</f>
        <v/>
      </c>
      <c r="U286" s="3">
        <f>Loads!$D$286*Loads!$S$286-Loads!$E$286*Loads!$T$286</f>
        <v/>
      </c>
      <c r="V286" s="3">
        <f>IF(Loads!$A$286=1,SUMIFS(Loads!$P$153:$P$212,Inputs!$C$224:$C$283,Loads!$B$286)-SUMIFS(Loads!$P$153:$P$212,Inputs!$D$224:$D$283,Loads!$B$286),0)</f>
        <v/>
      </c>
      <c r="W286" s="3">
        <f>IF(Loads!$A$286=1,SUMIFS(Loads!$Q$153:$Q$212,Inputs!$C$224:$C$283,Loads!$B$286)-SUMIFS(Loads!$Q$153:$Q$212,Inputs!$D$224:$D$283,Loads!$B$286),0)</f>
        <v/>
      </c>
      <c r="X286" s="3">
        <f>Loads!$D$286*Loads!$W$286-Loads!$E$286*Loads!$V$286</f>
        <v/>
      </c>
      <c r="Y286" s="3">
        <f>IF(Loads!$A$286=1,SUMIFS(Loads!$R$153:$R$212,Inputs!$C$224:$C$283,Loads!$B$286)-SUMIFS(Loads!$R$153:$R$212,Inputs!$D$224:$D$283,Loads!$B$286),0)</f>
        <v/>
      </c>
      <c r="Z286" s="3">
        <f>IF(Loads!$A$286=1,SUMIFS(Loads!$S$153:$S$212,Inputs!$C$224:$C$283,Loads!$B$286)-SUMIFS(Loads!$S$153:$S$212,Inputs!$D$224:$D$283,Loads!$B$286),0)</f>
        <v/>
      </c>
      <c r="AA286" s="3">
        <f>Loads!$D$286*Loads!$Z$286-Loads!$E$286*Loads!$Y$286</f>
        <v/>
      </c>
      <c r="AB286" s="3">
        <f>Loads!$I$286+Loads!$M$286+Loads!$P$286+Loads!$V$286+Loads!$T$286</f>
        <v/>
      </c>
      <c r="AC286" s="3">
        <f>Loads!$J$286+Loads!$N$286+Loads!$Q$286+Loads!$W$286+Loads!$S$286</f>
        <v/>
      </c>
      <c r="AD286" s="3">
        <f>Loads!$K$286+Loads!$O$286+Loads!$R$286+Loads!$X$286+Loads!$U$286</f>
        <v/>
      </c>
    </row>
    <row r="287">
      <c r="A287" s="3">
        <f>Inputs!$A$206</f>
        <v/>
      </c>
      <c r="B287" s="3">
        <f>Geometry!$B$126</f>
        <v/>
      </c>
      <c r="C287" s="3">
        <f>IF(Loads!$A$287=1,Inputs!$C$206&amp;"","")</f>
        <v/>
      </c>
      <c r="D287" s="3">
        <f>Geometry!$K$126</f>
        <v/>
      </c>
      <c r="E287" s="3">
        <f>Geometry!$L$126</f>
        <v/>
      </c>
      <c r="F287" s="3">
        <f>IF(Loads!$A$287=1,SUMIFS(Loads!$V$153:$V$212,Inputs!$C$224:$C$283,Loads!$B$287)+SUMIFS(Loads!$V$153:$V$212,Inputs!$D$224:$D$283,Loads!$B$287),0)</f>
        <v/>
      </c>
      <c r="G287" s="3">
        <f>IF(Loads!$A$287=1,SUMIFS(Loads!$K$139:$K$146,Loads!$I$139:$I$146,Loads!$B$287),0)</f>
        <v/>
      </c>
      <c r="H287" s="3">
        <f>Loads!$F$287+Loads!$G$287</f>
        <v/>
      </c>
      <c r="I287" s="3">
        <f>Loads!$H$287*Loads!$B$15+(-Loads!$H$287*(Loads!$B$17+Loads!$B$19*(Loads!$E$287-Loads!$B$14)))</f>
        <v/>
      </c>
      <c r="J287" s="3">
        <f>Loads!$H$287*Loads!$B$16+(-Loads!$H$287*(Loads!$B$18-Loads!$B$19*(Loads!$D$287-Loads!$B$13)))</f>
        <v/>
      </c>
      <c r="K287" s="3">
        <f>Loads!$D$287*Loads!$J$287-Loads!$E$287*Loads!$I$287</f>
        <v/>
      </c>
      <c r="L287" s="3">
        <f>IF(Loads!$A$287=1,SUMIFS(Loads!$L$139:$L$146,Inputs!$D$304:$D$311,Loads!$B$287),0)</f>
        <v/>
      </c>
      <c r="M287" s="3">
        <f>Loads!$L$287*Loads!$B$15</f>
        <v/>
      </c>
      <c r="N287" s="3">
        <f>Loads!$L$287*Loads!$B$16</f>
        <v/>
      </c>
      <c r="O287" s="3">
        <f>Loads!$D$287*Loads!$N$287-Loads!$E$287*Loads!$M$287</f>
        <v/>
      </c>
      <c r="P287" s="3">
        <f>-Loads!$L$287*(Loads!$B$17+Loads!$B$19*(Loads!$E$287-Loads!$B$14))</f>
        <v/>
      </c>
      <c r="Q287" s="3">
        <f>-Loads!$L$287*(Loads!$B$18-Loads!$B$19*(Loads!$D$287-Loads!$B$13))</f>
        <v/>
      </c>
      <c r="R287" s="3">
        <f>Loads!$D$287*Loads!$Q$287-Loads!$E$287*Loads!$P$287</f>
        <v/>
      </c>
      <c r="S287" s="3">
        <f>IF(AND(Loads!$A$287=1,Loads!$B$26=69),-Loads!$B$24,0)</f>
        <v/>
      </c>
      <c r="T287" s="3">
        <f>IF(AND(Loads!$A$287=1,Loads!$B$27=69),Loads!$B$25,0)</f>
        <v/>
      </c>
      <c r="U287" s="3">
        <f>Loads!$D$287*Loads!$S$287-Loads!$E$287*Loads!$T$287</f>
        <v/>
      </c>
      <c r="V287" s="3">
        <f>IF(Loads!$A$287=1,SUMIFS(Loads!$P$153:$P$212,Inputs!$C$224:$C$283,Loads!$B$287)-SUMIFS(Loads!$P$153:$P$212,Inputs!$D$224:$D$283,Loads!$B$287),0)</f>
        <v/>
      </c>
      <c r="W287" s="3">
        <f>IF(Loads!$A$287=1,SUMIFS(Loads!$Q$153:$Q$212,Inputs!$C$224:$C$283,Loads!$B$287)-SUMIFS(Loads!$Q$153:$Q$212,Inputs!$D$224:$D$283,Loads!$B$287),0)</f>
        <v/>
      </c>
      <c r="X287" s="3">
        <f>Loads!$D$287*Loads!$W$287-Loads!$E$287*Loads!$V$287</f>
        <v/>
      </c>
      <c r="Y287" s="3">
        <f>IF(Loads!$A$287=1,SUMIFS(Loads!$R$153:$R$212,Inputs!$C$224:$C$283,Loads!$B$287)-SUMIFS(Loads!$R$153:$R$212,Inputs!$D$224:$D$283,Loads!$B$287),0)</f>
        <v/>
      </c>
      <c r="Z287" s="3">
        <f>IF(Loads!$A$287=1,SUMIFS(Loads!$S$153:$S$212,Inputs!$C$224:$C$283,Loads!$B$287)-SUMIFS(Loads!$S$153:$S$212,Inputs!$D$224:$D$283,Loads!$B$287),0)</f>
        <v/>
      </c>
      <c r="AA287" s="3">
        <f>Loads!$D$287*Loads!$Z$287-Loads!$E$287*Loads!$Y$287</f>
        <v/>
      </c>
      <c r="AB287" s="3">
        <f>Loads!$I$287+Loads!$M$287+Loads!$P$287+Loads!$V$287+Loads!$T$287</f>
        <v/>
      </c>
      <c r="AC287" s="3">
        <f>Loads!$J$287+Loads!$N$287+Loads!$Q$287+Loads!$W$287+Loads!$S$287</f>
        <v/>
      </c>
      <c r="AD287" s="3">
        <f>Loads!$K$287+Loads!$O$287+Loads!$R$287+Loads!$X$287+Loads!$U$287</f>
        <v/>
      </c>
    </row>
    <row r="288">
      <c r="A288" s="3">
        <f>Inputs!$A$207</f>
        <v/>
      </c>
      <c r="B288" s="3">
        <f>Geometry!$B$127</f>
        <v/>
      </c>
      <c r="C288" s="3">
        <f>IF(Loads!$A$288=1,Inputs!$C$207&amp;"","")</f>
        <v/>
      </c>
      <c r="D288" s="3">
        <f>Geometry!$K$127</f>
        <v/>
      </c>
      <c r="E288" s="3">
        <f>Geometry!$L$127</f>
        <v/>
      </c>
      <c r="F288" s="3">
        <f>IF(Loads!$A$288=1,SUMIFS(Loads!$V$153:$V$212,Inputs!$C$224:$C$283,Loads!$B$288)+SUMIFS(Loads!$V$153:$V$212,Inputs!$D$224:$D$283,Loads!$B$288),0)</f>
        <v/>
      </c>
      <c r="G288" s="3">
        <f>IF(Loads!$A$288=1,SUMIFS(Loads!$K$139:$K$146,Loads!$I$139:$I$146,Loads!$B$288),0)</f>
        <v/>
      </c>
      <c r="H288" s="3">
        <f>Loads!$F$288+Loads!$G$288</f>
        <v/>
      </c>
      <c r="I288" s="3">
        <f>Loads!$H$288*Loads!$B$15+(-Loads!$H$288*(Loads!$B$17+Loads!$B$19*(Loads!$E$288-Loads!$B$14)))</f>
        <v/>
      </c>
      <c r="J288" s="3">
        <f>Loads!$H$288*Loads!$B$16+(-Loads!$H$288*(Loads!$B$18-Loads!$B$19*(Loads!$D$288-Loads!$B$13)))</f>
        <v/>
      </c>
      <c r="K288" s="3">
        <f>Loads!$D$288*Loads!$J$288-Loads!$E$288*Loads!$I$288</f>
        <v/>
      </c>
      <c r="L288" s="3">
        <f>IF(Loads!$A$288=1,SUMIFS(Loads!$L$139:$L$146,Inputs!$D$304:$D$311,Loads!$B$288),0)</f>
        <v/>
      </c>
      <c r="M288" s="3">
        <f>Loads!$L$288*Loads!$B$15</f>
        <v/>
      </c>
      <c r="N288" s="3">
        <f>Loads!$L$288*Loads!$B$16</f>
        <v/>
      </c>
      <c r="O288" s="3">
        <f>Loads!$D$288*Loads!$N$288-Loads!$E$288*Loads!$M$288</f>
        <v/>
      </c>
      <c r="P288" s="3">
        <f>-Loads!$L$288*(Loads!$B$17+Loads!$B$19*(Loads!$E$288-Loads!$B$14))</f>
        <v/>
      </c>
      <c r="Q288" s="3">
        <f>-Loads!$L$288*(Loads!$B$18-Loads!$B$19*(Loads!$D$288-Loads!$B$13))</f>
        <v/>
      </c>
      <c r="R288" s="3">
        <f>Loads!$D$288*Loads!$Q$288-Loads!$E$288*Loads!$P$288</f>
        <v/>
      </c>
      <c r="S288" s="3">
        <f>IF(AND(Loads!$A$288=1,Loads!$B$26=70),-Loads!$B$24,0)</f>
        <v/>
      </c>
      <c r="T288" s="3">
        <f>IF(AND(Loads!$A$288=1,Loads!$B$27=70),Loads!$B$25,0)</f>
        <v/>
      </c>
      <c r="U288" s="3">
        <f>Loads!$D$288*Loads!$S$288-Loads!$E$288*Loads!$T$288</f>
        <v/>
      </c>
      <c r="V288" s="3">
        <f>IF(Loads!$A$288=1,SUMIFS(Loads!$P$153:$P$212,Inputs!$C$224:$C$283,Loads!$B$288)-SUMIFS(Loads!$P$153:$P$212,Inputs!$D$224:$D$283,Loads!$B$288),0)</f>
        <v/>
      </c>
      <c r="W288" s="3">
        <f>IF(Loads!$A$288=1,SUMIFS(Loads!$Q$153:$Q$212,Inputs!$C$224:$C$283,Loads!$B$288)-SUMIFS(Loads!$Q$153:$Q$212,Inputs!$D$224:$D$283,Loads!$B$288),0)</f>
        <v/>
      </c>
      <c r="X288" s="3">
        <f>Loads!$D$288*Loads!$W$288-Loads!$E$288*Loads!$V$288</f>
        <v/>
      </c>
      <c r="Y288" s="3">
        <f>IF(Loads!$A$288=1,SUMIFS(Loads!$R$153:$R$212,Inputs!$C$224:$C$283,Loads!$B$288)-SUMIFS(Loads!$R$153:$R$212,Inputs!$D$224:$D$283,Loads!$B$288),0)</f>
        <v/>
      </c>
      <c r="Z288" s="3">
        <f>IF(Loads!$A$288=1,SUMIFS(Loads!$S$153:$S$212,Inputs!$C$224:$C$283,Loads!$B$288)-SUMIFS(Loads!$S$153:$S$212,Inputs!$D$224:$D$283,Loads!$B$288),0)</f>
        <v/>
      </c>
      <c r="AA288" s="3">
        <f>Loads!$D$288*Loads!$Z$288-Loads!$E$288*Loads!$Y$288</f>
        <v/>
      </c>
      <c r="AB288" s="3">
        <f>Loads!$I$288+Loads!$M$288+Loads!$P$288+Loads!$V$288+Loads!$T$288</f>
        <v/>
      </c>
      <c r="AC288" s="3">
        <f>Loads!$J$288+Loads!$N$288+Loads!$Q$288+Loads!$W$288+Loads!$S$288</f>
        <v/>
      </c>
      <c r="AD288" s="3">
        <f>Loads!$K$288+Loads!$O$288+Loads!$R$288+Loads!$X$288+Loads!$U$288</f>
        <v/>
      </c>
    </row>
    <row r="289">
      <c r="A289" s="3">
        <f>Inputs!$A$208</f>
        <v/>
      </c>
      <c r="B289" s="3">
        <f>Geometry!$B$128</f>
        <v/>
      </c>
      <c r="C289" s="3">
        <f>IF(Loads!$A$289=1,Inputs!$C$208&amp;"","")</f>
        <v/>
      </c>
      <c r="D289" s="3">
        <f>Geometry!$K$128</f>
        <v/>
      </c>
      <c r="E289" s="3">
        <f>Geometry!$L$128</f>
        <v/>
      </c>
      <c r="F289" s="3">
        <f>IF(Loads!$A$289=1,SUMIFS(Loads!$V$153:$V$212,Inputs!$C$224:$C$283,Loads!$B$289)+SUMIFS(Loads!$V$153:$V$212,Inputs!$D$224:$D$283,Loads!$B$289),0)</f>
        <v/>
      </c>
      <c r="G289" s="3">
        <f>IF(Loads!$A$289=1,SUMIFS(Loads!$K$139:$K$146,Loads!$I$139:$I$146,Loads!$B$289),0)</f>
        <v/>
      </c>
      <c r="H289" s="3">
        <f>Loads!$F$289+Loads!$G$289</f>
        <v/>
      </c>
      <c r="I289" s="3">
        <f>Loads!$H$289*Loads!$B$15+(-Loads!$H$289*(Loads!$B$17+Loads!$B$19*(Loads!$E$289-Loads!$B$14)))</f>
        <v/>
      </c>
      <c r="J289" s="3">
        <f>Loads!$H$289*Loads!$B$16+(-Loads!$H$289*(Loads!$B$18-Loads!$B$19*(Loads!$D$289-Loads!$B$13)))</f>
        <v/>
      </c>
      <c r="K289" s="3">
        <f>Loads!$D$289*Loads!$J$289-Loads!$E$289*Loads!$I$289</f>
        <v/>
      </c>
      <c r="L289" s="3">
        <f>IF(Loads!$A$289=1,SUMIFS(Loads!$L$139:$L$146,Inputs!$D$304:$D$311,Loads!$B$289),0)</f>
        <v/>
      </c>
      <c r="M289" s="3">
        <f>Loads!$L$289*Loads!$B$15</f>
        <v/>
      </c>
      <c r="N289" s="3">
        <f>Loads!$L$289*Loads!$B$16</f>
        <v/>
      </c>
      <c r="O289" s="3">
        <f>Loads!$D$289*Loads!$N$289-Loads!$E$289*Loads!$M$289</f>
        <v/>
      </c>
      <c r="P289" s="3">
        <f>-Loads!$L$289*(Loads!$B$17+Loads!$B$19*(Loads!$E$289-Loads!$B$14))</f>
        <v/>
      </c>
      <c r="Q289" s="3">
        <f>-Loads!$L$289*(Loads!$B$18-Loads!$B$19*(Loads!$D$289-Loads!$B$13))</f>
        <v/>
      </c>
      <c r="R289" s="3">
        <f>Loads!$D$289*Loads!$Q$289-Loads!$E$289*Loads!$P$289</f>
        <v/>
      </c>
      <c r="S289" s="3">
        <f>IF(AND(Loads!$A$289=1,Loads!$B$26=71),-Loads!$B$24,0)</f>
        <v/>
      </c>
      <c r="T289" s="3">
        <f>IF(AND(Loads!$A$289=1,Loads!$B$27=71),Loads!$B$25,0)</f>
        <v/>
      </c>
      <c r="U289" s="3">
        <f>Loads!$D$289*Loads!$S$289-Loads!$E$289*Loads!$T$289</f>
        <v/>
      </c>
      <c r="V289" s="3">
        <f>IF(Loads!$A$289=1,SUMIFS(Loads!$P$153:$P$212,Inputs!$C$224:$C$283,Loads!$B$289)-SUMIFS(Loads!$P$153:$P$212,Inputs!$D$224:$D$283,Loads!$B$289),0)</f>
        <v/>
      </c>
      <c r="W289" s="3">
        <f>IF(Loads!$A$289=1,SUMIFS(Loads!$Q$153:$Q$212,Inputs!$C$224:$C$283,Loads!$B$289)-SUMIFS(Loads!$Q$153:$Q$212,Inputs!$D$224:$D$283,Loads!$B$289),0)</f>
        <v/>
      </c>
      <c r="X289" s="3">
        <f>Loads!$D$289*Loads!$W$289-Loads!$E$289*Loads!$V$289</f>
        <v/>
      </c>
      <c r="Y289" s="3">
        <f>IF(Loads!$A$289=1,SUMIFS(Loads!$R$153:$R$212,Inputs!$C$224:$C$283,Loads!$B$289)-SUMIFS(Loads!$R$153:$R$212,Inputs!$D$224:$D$283,Loads!$B$289),0)</f>
        <v/>
      </c>
      <c r="Z289" s="3">
        <f>IF(Loads!$A$289=1,SUMIFS(Loads!$S$153:$S$212,Inputs!$C$224:$C$283,Loads!$B$289)-SUMIFS(Loads!$S$153:$S$212,Inputs!$D$224:$D$283,Loads!$B$289),0)</f>
        <v/>
      </c>
      <c r="AA289" s="3">
        <f>Loads!$D$289*Loads!$Z$289-Loads!$E$289*Loads!$Y$289</f>
        <v/>
      </c>
      <c r="AB289" s="3">
        <f>Loads!$I$289+Loads!$M$289+Loads!$P$289+Loads!$V$289+Loads!$T$289</f>
        <v/>
      </c>
      <c r="AC289" s="3">
        <f>Loads!$J$289+Loads!$N$289+Loads!$Q$289+Loads!$W$289+Loads!$S$289</f>
        <v/>
      </c>
      <c r="AD289" s="3">
        <f>Loads!$K$289+Loads!$O$289+Loads!$R$289+Loads!$X$289+Loads!$U$289</f>
        <v/>
      </c>
    </row>
    <row r="290">
      <c r="A290" s="3">
        <f>Inputs!$A$209</f>
        <v/>
      </c>
      <c r="B290" s="3">
        <f>Geometry!$B$129</f>
        <v/>
      </c>
      <c r="C290" s="3">
        <f>IF(Loads!$A$290=1,Inputs!$C$209&amp;"","")</f>
        <v/>
      </c>
      <c r="D290" s="3">
        <f>Geometry!$K$129</f>
        <v/>
      </c>
      <c r="E290" s="3">
        <f>Geometry!$L$129</f>
        <v/>
      </c>
      <c r="F290" s="3">
        <f>IF(Loads!$A$290=1,SUMIFS(Loads!$V$153:$V$212,Inputs!$C$224:$C$283,Loads!$B$290)+SUMIFS(Loads!$V$153:$V$212,Inputs!$D$224:$D$283,Loads!$B$290),0)</f>
        <v/>
      </c>
      <c r="G290" s="3">
        <f>IF(Loads!$A$290=1,SUMIFS(Loads!$K$139:$K$146,Loads!$I$139:$I$146,Loads!$B$290),0)</f>
        <v/>
      </c>
      <c r="H290" s="3">
        <f>Loads!$F$290+Loads!$G$290</f>
        <v/>
      </c>
      <c r="I290" s="3">
        <f>Loads!$H$290*Loads!$B$15+(-Loads!$H$290*(Loads!$B$17+Loads!$B$19*(Loads!$E$290-Loads!$B$14)))</f>
        <v/>
      </c>
      <c r="J290" s="3">
        <f>Loads!$H$290*Loads!$B$16+(-Loads!$H$290*(Loads!$B$18-Loads!$B$19*(Loads!$D$290-Loads!$B$13)))</f>
        <v/>
      </c>
      <c r="K290" s="3">
        <f>Loads!$D$290*Loads!$J$290-Loads!$E$290*Loads!$I$290</f>
        <v/>
      </c>
      <c r="L290" s="3">
        <f>IF(Loads!$A$290=1,SUMIFS(Loads!$L$139:$L$146,Inputs!$D$304:$D$311,Loads!$B$290),0)</f>
        <v/>
      </c>
      <c r="M290" s="3">
        <f>Loads!$L$290*Loads!$B$15</f>
        <v/>
      </c>
      <c r="N290" s="3">
        <f>Loads!$L$290*Loads!$B$16</f>
        <v/>
      </c>
      <c r="O290" s="3">
        <f>Loads!$D$290*Loads!$N$290-Loads!$E$290*Loads!$M$290</f>
        <v/>
      </c>
      <c r="P290" s="3">
        <f>-Loads!$L$290*(Loads!$B$17+Loads!$B$19*(Loads!$E$290-Loads!$B$14))</f>
        <v/>
      </c>
      <c r="Q290" s="3">
        <f>-Loads!$L$290*(Loads!$B$18-Loads!$B$19*(Loads!$D$290-Loads!$B$13))</f>
        <v/>
      </c>
      <c r="R290" s="3">
        <f>Loads!$D$290*Loads!$Q$290-Loads!$E$290*Loads!$P$290</f>
        <v/>
      </c>
      <c r="S290" s="3">
        <f>IF(AND(Loads!$A$290=1,Loads!$B$26=72),-Loads!$B$24,0)</f>
        <v/>
      </c>
      <c r="T290" s="3">
        <f>IF(AND(Loads!$A$290=1,Loads!$B$27=72),Loads!$B$25,0)</f>
        <v/>
      </c>
      <c r="U290" s="3">
        <f>Loads!$D$290*Loads!$S$290-Loads!$E$290*Loads!$T$290</f>
        <v/>
      </c>
      <c r="V290" s="3">
        <f>IF(Loads!$A$290=1,SUMIFS(Loads!$P$153:$P$212,Inputs!$C$224:$C$283,Loads!$B$290)-SUMIFS(Loads!$P$153:$P$212,Inputs!$D$224:$D$283,Loads!$B$290),0)</f>
        <v/>
      </c>
      <c r="W290" s="3">
        <f>IF(Loads!$A$290=1,SUMIFS(Loads!$Q$153:$Q$212,Inputs!$C$224:$C$283,Loads!$B$290)-SUMIFS(Loads!$Q$153:$Q$212,Inputs!$D$224:$D$283,Loads!$B$290),0)</f>
        <v/>
      </c>
      <c r="X290" s="3">
        <f>Loads!$D$290*Loads!$W$290-Loads!$E$290*Loads!$V$290</f>
        <v/>
      </c>
      <c r="Y290" s="3">
        <f>IF(Loads!$A$290=1,SUMIFS(Loads!$R$153:$R$212,Inputs!$C$224:$C$283,Loads!$B$290)-SUMIFS(Loads!$R$153:$R$212,Inputs!$D$224:$D$283,Loads!$B$290),0)</f>
        <v/>
      </c>
      <c r="Z290" s="3">
        <f>IF(Loads!$A$290=1,SUMIFS(Loads!$S$153:$S$212,Inputs!$C$224:$C$283,Loads!$B$290)-SUMIFS(Loads!$S$153:$S$212,Inputs!$D$224:$D$283,Loads!$B$290),0)</f>
        <v/>
      </c>
      <c r="AA290" s="3">
        <f>Loads!$D$290*Loads!$Z$290-Loads!$E$290*Loads!$Y$290</f>
        <v/>
      </c>
      <c r="AB290" s="3">
        <f>Loads!$I$290+Loads!$M$290+Loads!$P$290+Loads!$V$290+Loads!$T$290</f>
        <v/>
      </c>
      <c r="AC290" s="3">
        <f>Loads!$J$290+Loads!$N$290+Loads!$Q$290+Loads!$W$290+Loads!$S$290</f>
        <v/>
      </c>
      <c r="AD290" s="3">
        <f>Loads!$K$290+Loads!$O$290+Loads!$R$290+Loads!$X$290+Loads!$U$290</f>
        <v/>
      </c>
    </row>
    <row r="291">
      <c r="A291" s="3">
        <f>Inputs!$A$210</f>
        <v/>
      </c>
      <c r="B291" s="3">
        <f>Geometry!$B$130</f>
        <v/>
      </c>
      <c r="C291" s="3">
        <f>IF(Loads!$A$291=1,Inputs!$C$210&amp;"","")</f>
        <v/>
      </c>
      <c r="D291" s="3">
        <f>Geometry!$K$130</f>
        <v/>
      </c>
      <c r="E291" s="3">
        <f>Geometry!$L$130</f>
        <v/>
      </c>
      <c r="F291" s="3">
        <f>IF(Loads!$A$291=1,SUMIFS(Loads!$V$153:$V$212,Inputs!$C$224:$C$283,Loads!$B$291)+SUMIFS(Loads!$V$153:$V$212,Inputs!$D$224:$D$283,Loads!$B$291),0)</f>
        <v/>
      </c>
      <c r="G291" s="3">
        <f>IF(Loads!$A$291=1,SUMIFS(Loads!$K$139:$K$146,Loads!$I$139:$I$146,Loads!$B$291),0)</f>
        <v/>
      </c>
      <c r="H291" s="3">
        <f>Loads!$F$291+Loads!$G$291</f>
        <v/>
      </c>
      <c r="I291" s="3">
        <f>Loads!$H$291*Loads!$B$15+(-Loads!$H$291*(Loads!$B$17+Loads!$B$19*(Loads!$E$291-Loads!$B$14)))</f>
        <v/>
      </c>
      <c r="J291" s="3">
        <f>Loads!$H$291*Loads!$B$16+(-Loads!$H$291*(Loads!$B$18-Loads!$B$19*(Loads!$D$291-Loads!$B$13)))</f>
        <v/>
      </c>
      <c r="K291" s="3">
        <f>Loads!$D$291*Loads!$J$291-Loads!$E$291*Loads!$I$291</f>
        <v/>
      </c>
      <c r="L291" s="3">
        <f>IF(Loads!$A$291=1,SUMIFS(Loads!$L$139:$L$146,Inputs!$D$304:$D$311,Loads!$B$291),0)</f>
        <v/>
      </c>
      <c r="M291" s="3">
        <f>Loads!$L$291*Loads!$B$15</f>
        <v/>
      </c>
      <c r="N291" s="3">
        <f>Loads!$L$291*Loads!$B$16</f>
        <v/>
      </c>
      <c r="O291" s="3">
        <f>Loads!$D$291*Loads!$N$291-Loads!$E$291*Loads!$M$291</f>
        <v/>
      </c>
      <c r="P291" s="3">
        <f>-Loads!$L$291*(Loads!$B$17+Loads!$B$19*(Loads!$E$291-Loads!$B$14))</f>
        <v/>
      </c>
      <c r="Q291" s="3">
        <f>-Loads!$L$291*(Loads!$B$18-Loads!$B$19*(Loads!$D$291-Loads!$B$13))</f>
        <v/>
      </c>
      <c r="R291" s="3">
        <f>Loads!$D$291*Loads!$Q$291-Loads!$E$291*Loads!$P$291</f>
        <v/>
      </c>
      <c r="S291" s="3">
        <f>IF(AND(Loads!$A$291=1,Loads!$B$26=73),-Loads!$B$24,0)</f>
        <v/>
      </c>
      <c r="T291" s="3">
        <f>IF(AND(Loads!$A$291=1,Loads!$B$27=73),Loads!$B$25,0)</f>
        <v/>
      </c>
      <c r="U291" s="3">
        <f>Loads!$D$291*Loads!$S$291-Loads!$E$291*Loads!$T$291</f>
        <v/>
      </c>
      <c r="V291" s="3">
        <f>IF(Loads!$A$291=1,SUMIFS(Loads!$P$153:$P$212,Inputs!$C$224:$C$283,Loads!$B$291)-SUMIFS(Loads!$P$153:$P$212,Inputs!$D$224:$D$283,Loads!$B$291),0)</f>
        <v/>
      </c>
      <c r="W291" s="3">
        <f>IF(Loads!$A$291=1,SUMIFS(Loads!$Q$153:$Q$212,Inputs!$C$224:$C$283,Loads!$B$291)-SUMIFS(Loads!$Q$153:$Q$212,Inputs!$D$224:$D$283,Loads!$B$291),0)</f>
        <v/>
      </c>
      <c r="X291" s="3">
        <f>Loads!$D$291*Loads!$W$291-Loads!$E$291*Loads!$V$291</f>
        <v/>
      </c>
      <c r="Y291" s="3">
        <f>IF(Loads!$A$291=1,SUMIFS(Loads!$R$153:$R$212,Inputs!$C$224:$C$283,Loads!$B$291)-SUMIFS(Loads!$R$153:$R$212,Inputs!$D$224:$D$283,Loads!$B$291),0)</f>
        <v/>
      </c>
      <c r="Z291" s="3">
        <f>IF(Loads!$A$291=1,SUMIFS(Loads!$S$153:$S$212,Inputs!$C$224:$C$283,Loads!$B$291)-SUMIFS(Loads!$S$153:$S$212,Inputs!$D$224:$D$283,Loads!$B$291),0)</f>
        <v/>
      </c>
      <c r="AA291" s="3">
        <f>Loads!$D$291*Loads!$Z$291-Loads!$E$291*Loads!$Y$291</f>
        <v/>
      </c>
      <c r="AB291" s="3">
        <f>Loads!$I$291+Loads!$M$291+Loads!$P$291+Loads!$V$291+Loads!$T$291</f>
        <v/>
      </c>
      <c r="AC291" s="3">
        <f>Loads!$J$291+Loads!$N$291+Loads!$Q$291+Loads!$W$291+Loads!$S$291</f>
        <v/>
      </c>
      <c r="AD291" s="3">
        <f>Loads!$K$291+Loads!$O$291+Loads!$R$291+Loads!$X$291+Loads!$U$291</f>
        <v/>
      </c>
    </row>
    <row r="292">
      <c r="A292" s="3">
        <f>Inputs!$A$211</f>
        <v/>
      </c>
      <c r="B292" s="3">
        <f>Geometry!$B$131</f>
        <v/>
      </c>
      <c r="C292" s="3">
        <f>IF(Loads!$A$292=1,Inputs!$C$211&amp;"","")</f>
        <v/>
      </c>
      <c r="D292" s="3">
        <f>Geometry!$K$131</f>
        <v/>
      </c>
      <c r="E292" s="3">
        <f>Geometry!$L$131</f>
        <v/>
      </c>
      <c r="F292" s="3">
        <f>IF(Loads!$A$292=1,SUMIFS(Loads!$V$153:$V$212,Inputs!$C$224:$C$283,Loads!$B$292)+SUMIFS(Loads!$V$153:$V$212,Inputs!$D$224:$D$283,Loads!$B$292),0)</f>
        <v/>
      </c>
      <c r="G292" s="3">
        <f>IF(Loads!$A$292=1,SUMIFS(Loads!$K$139:$K$146,Loads!$I$139:$I$146,Loads!$B$292),0)</f>
        <v/>
      </c>
      <c r="H292" s="3">
        <f>Loads!$F$292+Loads!$G$292</f>
        <v/>
      </c>
      <c r="I292" s="3">
        <f>Loads!$H$292*Loads!$B$15+(-Loads!$H$292*(Loads!$B$17+Loads!$B$19*(Loads!$E$292-Loads!$B$14)))</f>
        <v/>
      </c>
      <c r="J292" s="3">
        <f>Loads!$H$292*Loads!$B$16+(-Loads!$H$292*(Loads!$B$18-Loads!$B$19*(Loads!$D$292-Loads!$B$13)))</f>
        <v/>
      </c>
      <c r="K292" s="3">
        <f>Loads!$D$292*Loads!$J$292-Loads!$E$292*Loads!$I$292</f>
        <v/>
      </c>
      <c r="L292" s="3">
        <f>IF(Loads!$A$292=1,SUMIFS(Loads!$L$139:$L$146,Inputs!$D$304:$D$311,Loads!$B$292),0)</f>
        <v/>
      </c>
      <c r="M292" s="3">
        <f>Loads!$L$292*Loads!$B$15</f>
        <v/>
      </c>
      <c r="N292" s="3">
        <f>Loads!$L$292*Loads!$B$16</f>
        <v/>
      </c>
      <c r="O292" s="3">
        <f>Loads!$D$292*Loads!$N$292-Loads!$E$292*Loads!$M$292</f>
        <v/>
      </c>
      <c r="P292" s="3">
        <f>-Loads!$L$292*(Loads!$B$17+Loads!$B$19*(Loads!$E$292-Loads!$B$14))</f>
        <v/>
      </c>
      <c r="Q292" s="3">
        <f>-Loads!$L$292*(Loads!$B$18-Loads!$B$19*(Loads!$D$292-Loads!$B$13))</f>
        <v/>
      </c>
      <c r="R292" s="3">
        <f>Loads!$D$292*Loads!$Q$292-Loads!$E$292*Loads!$P$292</f>
        <v/>
      </c>
      <c r="S292" s="3">
        <f>IF(AND(Loads!$A$292=1,Loads!$B$26=74),-Loads!$B$24,0)</f>
        <v/>
      </c>
      <c r="T292" s="3">
        <f>IF(AND(Loads!$A$292=1,Loads!$B$27=74),Loads!$B$25,0)</f>
        <v/>
      </c>
      <c r="U292" s="3">
        <f>Loads!$D$292*Loads!$S$292-Loads!$E$292*Loads!$T$292</f>
        <v/>
      </c>
      <c r="V292" s="3">
        <f>IF(Loads!$A$292=1,SUMIFS(Loads!$P$153:$P$212,Inputs!$C$224:$C$283,Loads!$B$292)-SUMIFS(Loads!$P$153:$P$212,Inputs!$D$224:$D$283,Loads!$B$292),0)</f>
        <v/>
      </c>
      <c r="W292" s="3">
        <f>IF(Loads!$A$292=1,SUMIFS(Loads!$Q$153:$Q$212,Inputs!$C$224:$C$283,Loads!$B$292)-SUMIFS(Loads!$Q$153:$Q$212,Inputs!$D$224:$D$283,Loads!$B$292),0)</f>
        <v/>
      </c>
      <c r="X292" s="3">
        <f>Loads!$D$292*Loads!$W$292-Loads!$E$292*Loads!$V$292</f>
        <v/>
      </c>
      <c r="Y292" s="3">
        <f>IF(Loads!$A$292=1,SUMIFS(Loads!$R$153:$R$212,Inputs!$C$224:$C$283,Loads!$B$292)-SUMIFS(Loads!$R$153:$R$212,Inputs!$D$224:$D$283,Loads!$B$292),0)</f>
        <v/>
      </c>
      <c r="Z292" s="3">
        <f>IF(Loads!$A$292=1,SUMIFS(Loads!$S$153:$S$212,Inputs!$C$224:$C$283,Loads!$B$292)-SUMIFS(Loads!$S$153:$S$212,Inputs!$D$224:$D$283,Loads!$B$292),0)</f>
        <v/>
      </c>
      <c r="AA292" s="3">
        <f>Loads!$D$292*Loads!$Z$292-Loads!$E$292*Loads!$Y$292</f>
        <v/>
      </c>
      <c r="AB292" s="3">
        <f>Loads!$I$292+Loads!$M$292+Loads!$P$292+Loads!$V$292+Loads!$T$292</f>
        <v/>
      </c>
      <c r="AC292" s="3">
        <f>Loads!$J$292+Loads!$N$292+Loads!$Q$292+Loads!$W$292+Loads!$S$292</f>
        <v/>
      </c>
      <c r="AD292" s="3">
        <f>Loads!$K$292+Loads!$O$292+Loads!$R$292+Loads!$X$292+Loads!$U$292</f>
        <v/>
      </c>
    </row>
    <row r="293">
      <c r="A293" s="3">
        <f>Inputs!$A$212</f>
        <v/>
      </c>
      <c r="B293" s="3">
        <f>Geometry!$B$132</f>
        <v/>
      </c>
      <c r="C293" s="3">
        <f>IF(Loads!$A$293=1,Inputs!$C$212&amp;"","")</f>
        <v/>
      </c>
      <c r="D293" s="3">
        <f>Geometry!$K$132</f>
        <v/>
      </c>
      <c r="E293" s="3">
        <f>Geometry!$L$132</f>
        <v/>
      </c>
      <c r="F293" s="3">
        <f>IF(Loads!$A$293=1,SUMIFS(Loads!$V$153:$V$212,Inputs!$C$224:$C$283,Loads!$B$293)+SUMIFS(Loads!$V$153:$V$212,Inputs!$D$224:$D$283,Loads!$B$293),0)</f>
        <v/>
      </c>
      <c r="G293" s="3">
        <f>IF(Loads!$A$293=1,SUMIFS(Loads!$K$139:$K$146,Loads!$I$139:$I$146,Loads!$B$293),0)</f>
        <v/>
      </c>
      <c r="H293" s="3">
        <f>Loads!$F$293+Loads!$G$293</f>
        <v/>
      </c>
      <c r="I293" s="3">
        <f>Loads!$H$293*Loads!$B$15+(-Loads!$H$293*(Loads!$B$17+Loads!$B$19*(Loads!$E$293-Loads!$B$14)))</f>
        <v/>
      </c>
      <c r="J293" s="3">
        <f>Loads!$H$293*Loads!$B$16+(-Loads!$H$293*(Loads!$B$18-Loads!$B$19*(Loads!$D$293-Loads!$B$13)))</f>
        <v/>
      </c>
      <c r="K293" s="3">
        <f>Loads!$D$293*Loads!$J$293-Loads!$E$293*Loads!$I$293</f>
        <v/>
      </c>
      <c r="L293" s="3">
        <f>IF(Loads!$A$293=1,SUMIFS(Loads!$L$139:$L$146,Inputs!$D$304:$D$311,Loads!$B$293),0)</f>
        <v/>
      </c>
      <c r="M293" s="3">
        <f>Loads!$L$293*Loads!$B$15</f>
        <v/>
      </c>
      <c r="N293" s="3">
        <f>Loads!$L$293*Loads!$B$16</f>
        <v/>
      </c>
      <c r="O293" s="3">
        <f>Loads!$D$293*Loads!$N$293-Loads!$E$293*Loads!$M$293</f>
        <v/>
      </c>
      <c r="P293" s="3">
        <f>-Loads!$L$293*(Loads!$B$17+Loads!$B$19*(Loads!$E$293-Loads!$B$14))</f>
        <v/>
      </c>
      <c r="Q293" s="3">
        <f>-Loads!$L$293*(Loads!$B$18-Loads!$B$19*(Loads!$D$293-Loads!$B$13))</f>
        <v/>
      </c>
      <c r="R293" s="3">
        <f>Loads!$D$293*Loads!$Q$293-Loads!$E$293*Loads!$P$293</f>
        <v/>
      </c>
      <c r="S293" s="3">
        <f>IF(AND(Loads!$A$293=1,Loads!$B$26=75),-Loads!$B$24,0)</f>
        <v/>
      </c>
      <c r="T293" s="3">
        <f>IF(AND(Loads!$A$293=1,Loads!$B$27=75),Loads!$B$25,0)</f>
        <v/>
      </c>
      <c r="U293" s="3">
        <f>Loads!$D$293*Loads!$S$293-Loads!$E$293*Loads!$T$293</f>
        <v/>
      </c>
      <c r="V293" s="3">
        <f>IF(Loads!$A$293=1,SUMIFS(Loads!$P$153:$P$212,Inputs!$C$224:$C$283,Loads!$B$293)-SUMIFS(Loads!$P$153:$P$212,Inputs!$D$224:$D$283,Loads!$B$293),0)</f>
        <v/>
      </c>
      <c r="W293" s="3">
        <f>IF(Loads!$A$293=1,SUMIFS(Loads!$Q$153:$Q$212,Inputs!$C$224:$C$283,Loads!$B$293)-SUMIFS(Loads!$Q$153:$Q$212,Inputs!$D$224:$D$283,Loads!$B$293),0)</f>
        <v/>
      </c>
      <c r="X293" s="3">
        <f>Loads!$D$293*Loads!$W$293-Loads!$E$293*Loads!$V$293</f>
        <v/>
      </c>
      <c r="Y293" s="3">
        <f>IF(Loads!$A$293=1,SUMIFS(Loads!$R$153:$R$212,Inputs!$C$224:$C$283,Loads!$B$293)-SUMIFS(Loads!$R$153:$R$212,Inputs!$D$224:$D$283,Loads!$B$293),0)</f>
        <v/>
      </c>
      <c r="Z293" s="3">
        <f>IF(Loads!$A$293=1,SUMIFS(Loads!$S$153:$S$212,Inputs!$C$224:$C$283,Loads!$B$293)-SUMIFS(Loads!$S$153:$S$212,Inputs!$D$224:$D$283,Loads!$B$293),0)</f>
        <v/>
      </c>
      <c r="AA293" s="3">
        <f>Loads!$D$293*Loads!$Z$293-Loads!$E$293*Loads!$Y$293</f>
        <v/>
      </c>
      <c r="AB293" s="3">
        <f>Loads!$I$293+Loads!$M$293+Loads!$P$293+Loads!$V$293+Loads!$T$293</f>
        <v/>
      </c>
      <c r="AC293" s="3">
        <f>Loads!$J$293+Loads!$N$293+Loads!$Q$293+Loads!$W$293+Loads!$S$293</f>
        <v/>
      </c>
      <c r="AD293" s="3">
        <f>Loads!$K$293+Loads!$O$293+Loads!$R$293+Loads!$X$293+Loads!$U$293</f>
        <v/>
      </c>
    </row>
    <row r="294">
      <c r="A294" s="3">
        <f>Inputs!$A$213</f>
        <v/>
      </c>
      <c r="B294" s="3">
        <f>Geometry!$B$133</f>
        <v/>
      </c>
      <c r="C294" s="3">
        <f>IF(Loads!$A$294=1,Inputs!$C$213&amp;"","")</f>
        <v/>
      </c>
      <c r="D294" s="3">
        <f>Geometry!$K$133</f>
        <v/>
      </c>
      <c r="E294" s="3">
        <f>Geometry!$L$133</f>
        <v/>
      </c>
      <c r="F294" s="3">
        <f>IF(Loads!$A$294=1,SUMIFS(Loads!$V$153:$V$212,Inputs!$C$224:$C$283,Loads!$B$294)+SUMIFS(Loads!$V$153:$V$212,Inputs!$D$224:$D$283,Loads!$B$294),0)</f>
        <v/>
      </c>
      <c r="G294" s="3">
        <f>IF(Loads!$A$294=1,SUMIFS(Loads!$K$139:$K$146,Loads!$I$139:$I$146,Loads!$B$294),0)</f>
        <v/>
      </c>
      <c r="H294" s="3">
        <f>Loads!$F$294+Loads!$G$294</f>
        <v/>
      </c>
      <c r="I294" s="3">
        <f>Loads!$H$294*Loads!$B$15+(-Loads!$H$294*(Loads!$B$17+Loads!$B$19*(Loads!$E$294-Loads!$B$14)))</f>
        <v/>
      </c>
      <c r="J294" s="3">
        <f>Loads!$H$294*Loads!$B$16+(-Loads!$H$294*(Loads!$B$18-Loads!$B$19*(Loads!$D$294-Loads!$B$13)))</f>
        <v/>
      </c>
      <c r="K294" s="3">
        <f>Loads!$D$294*Loads!$J$294-Loads!$E$294*Loads!$I$294</f>
        <v/>
      </c>
      <c r="L294" s="3">
        <f>IF(Loads!$A$294=1,SUMIFS(Loads!$L$139:$L$146,Inputs!$D$304:$D$311,Loads!$B$294),0)</f>
        <v/>
      </c>
      <c r="M294" s="3">
        <f>Loads!$L$294*Loads!$B$15</f>
        <v/>
      </c>
      <c r="N294" s="3">
        <f>Loads!$L$294*Loads!$B$16</f>
        <v/>
      </c>
      <c r="O294" s="3">
        <f>Loads!$D$294*Loads!$N$294-Loads!$E$294*Loads!$M$294</f>
        <v/>
      </c>
      <c r="P294" s="3">
        <f>-Loads!$L$294*(Loads!$B$17+Loads!$B$19*(Loads!$E$294-Loads!$B$14))</f>
        <v/>
      </c>
      <c r="Q294" s="3">
        <f>-Loads!$L$294*(Loads!$B$18-Loads!$B$19*(Loads!$D$294-Loads!$B$13))</f>
        <v/>
      </c>
      <c r="R294" s="3">
        <f>Loads!$D$294*Loads!$Q$294-Loads!$E$294*Loads!$P$294</f>
        <v/>
      </c>
      <c r="S294" s="3">
        <f>IF(AND(Loads!$A$294=1,Loads!$B$26=76),-Loads!$B$24,0)</f>
        <v/>
      </c>
      <c r="T294" s="3">
        <f>IF(AND(Loads!$A$294=1,Loads!$B$27=76),Loads!$B$25,0)</f>
        <v/>
      </c>
      <c r="U294" s="3">
        <f>Loads!$D$294*Loads!$S$294-Loads!$E$294*Loads!$T$294</f>
        <v/>
      </c>
      <c r="V294" s="3">
        <f>IF(Loads!$A$294=1,SUMIFS(Loads!$P$153:$P$212,Inputs!$C$224:$C$283,Loads!$B$294)-SUMIFS(Loads!$P$153:$P$212,Inputs!$D$224:$D$283,Loads!$B$294),0)</f>
        <v/>
      </c>
      <c r="W294" s="3">
        <f>IF(Loads!$A$294=1,SUMIFS(Loads!$Q$153:$Q$212,Inputs!$C$224:$C$283,Loads!$B$294)-SUMIFS(Loads!$Q$153:$Q$212,Inputs!$D$224:$D$283,Loads!$B$294),0)</f>
        <v/>
      </c>
      <c r="X294" s="3">
        <f>Loads!$D$294*Loads!$W$294-Loads!$E$294*Loads!$V$294</f>
        <v/>
      </c>
      <c r="Y294" s="3">
        <f>IF(Loads!$A$294=1,SUMIFS(Loads!$R$153:$R$212,Inputs!$C$224:$C$283,Loads!$B$294)-SUMIFS(Loads!$R$153:$R$212,Inputs!$D$224:$D$283,Loads!$B$294),0)</f>
        <v/>
      </c>
      <c r="Z294" s="3">
        <f>IF(Loads!$A$294=1,SUMIFS(Loads!$S$153:$S$212,Inputs!$C$224:$C$283,Loads!$B$294)-SUMIFS(Loads!$S$153:$S$212,Inputs!$D$224:$D$283,Loads!$B$294),0)</f>
        <v/>
      </c>
      <c r="AA294" s="3">
        <f>Loads!$D$294*Loads!$Z$294-Loads!$E$294*Loads!$Y$294</f>
        <v/>
      </c>
      <c r="AB294" s="3">
        <f>Loads!$I$294+Loads!$M$294+Loads!$P$294+Loads!$V$294+Loads!$T$294</f>
        <v/>
      </c>
      <c r="AC294" s="3">
        <f>Loads!$J$294+Loads!$N$294+Loads!$Q$294+Loads!$W$294+Loads!$S$294</f>
        <v/>
      </c>
      <c r="AD294" s="3">
        <f>Loads!$K$294+Loads!$O$294+Loads!$R$294+Loads!$X$294+Loads!$U$294</f>
        <v/>
      </c>
    </row>
    <row r="295">
      <c r="A295" s="3">
        <f>Inputs!$A$214</f>
        <v/>
      </c>
      <c r="B295" s="3">
        <f>Geometry!$B$134</f>
        <v/>
      </c>
      <c r="C295" s="3">
        <f>IF(Loads!$A$295=1,Inputs!$C$214&amp;"","")</f>
        <v/>
      </c>
      <c r="D295" s="3">
        <f>Geometry!$K$134</f>
        <v/>
      </c>
      <c r="E295" s="3">
        <f>Geometry!$L$134</f>
        <v/>
      </c>
      <c r="F295" s="3">
        <f>IF(Loads!$A$295=1,SUMIFS(Loads!$V$153:$V$212,Inputs!$C$224:$C$283,Loads!$B$295)+SUMIFS(Loads!$V$153:$V$212,Inputs!$D$224:$D$283,Loads!$B$295),0)</f>
        <v/>
      </c>
      <c r="G295" s="3">
        <f>IF(Loads!$A$295=1,SUMIFS(Loads!$K$139:$K$146,Loads!$I$139:$I$146,Loads!$B$295),0)</f>
        <v/>
      </c>
      <c r="H295" s="3">
        <f>Loads!$F$295+Loads!$G$295</f>
        <v/>
      </c>
      <c r="I295" s="3">
        <f>Loads!$H$295*Loads!$B$15+(-Loads!$H$295*(Loads!$B$17+Loads!$B$19*(Loads!$E$295-Loads!$B$14)))</f>
        <v/>
      </c>
      <c r="J295" s="3">
        <f>Loads!$H$295*Loads!$B$16+(-Loads!$H$295*(Loads!$B$18-Loads!$B$19*(Loads!$D$295-Loads!$B$13)))</f>
        <v/>
      </c>
      <c r="K295" s="3">
        <f>Loads!$D$295*Loads!$J$295-Loads!$E$295*Loads!$I$295</f>
        <v/>
      </c>
      <c r="L295" s="3">
        <f>IF(Loads!$A$295=1,SUMIFS(Loads!$L$139:$L$146,Inputs!$D$304:$D$311,Loads!$B$295),0)</f>
        <v/>
      </c>
      <c r="M295" s="3">
        <f>Loads!$L$295*Loads!$B$15</f>
        <v/>
      </c>
      <c r="N295" s="3">
        <f>Loads!$L$295*Loads!$B$16</f>
        <v/>
      </c>
      <c r="O295" s="3">
        <f>Loads!$D$295*Loads!$N$295-Loads!$E$295*Loads!$M$295</f>
        <v/>
      </c>
      <c r="P295" s="3">
        <f>-Loads!$L$295*(Loads!$B$17+Loads!$B$19*(Loads!$E$295-Loads!$B$14))</f>
        <v/>
      </c>
      <c r="Q295" s="3">
        <f>-Loads!$L$295*(Loads!$B$18-Loads!$B$19*(Loads!$D$295-Loads!$B$13))</f>
        <v/>
      </c>
      <c r="R295" s="3">
        <f>Loads!$D$295*Loads!$Q$295-Loads!$E$295*Loads!$P$295</f>
        <v/>
      </c>
      <c r="S295" s="3">
        <f>IF(AND(Loads!$A$295=1,Loads!$B$26=77),-Loads!$B$24,0)</f>
        <v/>
      </c>
      <c r="T295" s="3">
        <f>IF(AND(Loads!$A$295=1,Loads!$B$27=77),Loads!$B$25,0)</f>
        <v/>
      </c>
      <c r="U295" s="3">
        <f>Loads!$D$295*Loads!$S$295-Loads!$E$295*Loads!$T$295</f>
        <v/>
      </c>
      <c r="V295" s="3">
        <f>IF(Loads!$A$295=1,SUMIFS(Loads!$P$153:$P$212,Inputs!$C$224:$C$283,Loads!$B$295)-SUMIFS(Loads!$P$153:$P$212,Inputs!$D$224:$D$283,Loads!$B$295),0)</f>
        <v/>
      </c>
      <c r="W295" s="3">
        <f>IF(Loads!$A$295=1,SUMIFS(Loads!$Q$153:$Q$212,Inputs!$C$224:$C$283,Loads!$B$295)-SUMIFS(Loads!$Q$153:$Q$212,Inputs!$D$224:$D$283,Loads!$B$295),0)</f>
        <v/>
      </c>
      <c r="X295" s="3">
        <f>Loads!$D$295*Loads!$W$295-Loads!$E$295*Loads!$V$295</f>
        <v/>
      </c>
      <c r="Y295" s="3">
        <f>IF(Loads!$A$295=1,SUMIFS(Loads!$R$153:$R$212,Inputs!$C$224:$C$283,Loads!$B$295)-SUMIFS(Loads!$R$153:$R$212,Inputs!$D$224:$D$283,Loads!$B$295),0)</f>
        <v/>
      </c>
      <c r="Z295" s="3">
        <f>IF(Loads!$A$295=1,SUMIFS(Loads!$S$153:$S$212,Inputs!$C$224:$C$283,Loads!$B$295)-SUMIFS(Loads!$S$153:$S$212,Inputs!$D$224:$D$283,Loads!$B$295),0)</f>
        <v/>
      </c>
      <c r="AA295" s="3">
        <f>Loads!$D$295*Loads!$Z$295-Loads!$E$295*Loads!$Y$295</f>
        <v/>
      </c>
      <c r="AB295" s="3">
        <f>Loads!$I$295+Loads!$M$295+Loads!$P$295+Loads!$V$295+Loads!$T$295</f>
        <v/>
      </c>
      <c r="AC295" s="3">
        <f>Loads!$J$295+Loads!$N$295+Loads!$Q$295+Loads!$W$295+Loads!$S$295</f>
        <v/>
      </c>
      <c r="AD295" s="3">
        <f>Loads!$K$295+Loads!$O$295+Loads!$R$295+Loads!$X$295+Loads!$U$295</f>
        <v/>
      </c>
    </row>
    <row r="296">
      <c r="A296" s="3">
        <f>Inputs!$A$215</f>
        <v/>
      </c>
      <c r="B296" s="3">
        <f>Geometry!$B$135</f>
        <v/>
      </c>
      <c r="C296" s="3">
        <f>IF(Loads!$A$296=1,Inputs!$C$215&amp;"","")</f>
        <v/>
      </c>
      <c r="D296" s="3">
        <f>Geometry!$K$135</f>
        <v/>
      </c>
      <c r="E296" s="3">
        <f>Geometry!$L$135</f>
        <v/>
      </c>
      <c r="F296" s="3">
        <f>IF(Loads!$A$296=1,SUMIFS(Loads!$V$153:$V$212,Inputs!$C$224:$C$283,Loads!$B$296)+SUMIFS(Loads!$V$153:$V$212,Inputs!$D$224:$D$283,Loads!$B$296),0)</f>
        <v/>
      </c>
      <c r="G296" s="3">
        <f>IF(Loads!$A$296=1,SUMIFS(Loads!$K$139:$K$146,Loads!$I$139:$I$146,Loads!$B$296),0)</f>
        <v/>
      </c>
      <c r="H296" s="3">
        <f>Loads!$F$296+Loads!$G$296</f>
        <v/>
      </c>
      <c r="I296" s="3">
        <f>Loads!$H$296*Loads!$B$15+(-Loads!$H$296*(Loads!$B$17+Loads!$B$19*(Loads!$E$296-Loads!$B$14)))</f>
        <v/>
      </c>
      <c r="J296" s="3">
        <f>Loads!$H$296*Loads!$B$16+(-Loads!$H$296*(Loads!$B$18-Loads!$B$19*(Loads!$D$296-Loads!$B$13)))</f>
        <v/>
      </c>
      <c r="K296" s="3">
        <f>Loads!$D$296*Loads!$J$296-Loads!$E$296*Loads!$I$296</f>
        <v/>
      </c>
      <c r="L296" s="3">
        <f>IF(Loads!$A$296=1,SUMIFS(Loads!$L$139:$L$146,Inputs!$D$304:$D$311,Loads!$B$296),0)</f>
        <v/>
      </c>
      <c r="M296" s="3">
        <f>Loads!$L$296*Loads!$B$15</f>
        <v/>
      </c>
      <c r="N296" s="3">
        <f>Loads!$L$296*Loads!$B$16</f>
        <v/>
      </c>
      <c r="O296" s="3">
        <f>Loads!$D$296*Loads!$N$296-Loads!$E$296*Loads!$M$296</f>
        <v/>
      </c>
      <c r="P296" s="3">
        <f>-Loads!$L$296*(Loads!$B$17+Loads!$B$19*(Loads!$E$296-Loads!$B$14))</f>
        <v/>
      </c>
      <c r="Q296" s="3">
        <f>-Loads!$L$296*(Loads!$B$18-Loads!$B$19*(Loads!$D$296-Loads!$B$13))</f>
        <v/>
      </c>
      <c r="R296" s="3">
        <f>Loads!$D$296*Loads!$Q$296-Loads!$E$296*Loads!$P$296</f>
        <v/>
      </c>
      <c r="S296" s="3">
        <f>IF(AND(Loads!$A$296=1,Loads!$B$26=78),-Loads!$B$24,0)</f>
        <v/>
      </c>
      <c r="T296" s="3">
        <f>IF(AND(Loads!$A$296=1,Loads!$B$27=78),Loads!$B$25,0)</f>
        <v/>
      </c>
      <c r="U296" s="3">
        <f>Loads!$D$296*Loads!$S$296-Loads!$E$296*Loads!$T$296</f>
        <v/>
      </c>
      <c r="V296" s="3">
        <f>IF(Loads!$A$296=1,SUMIFS(Loads!$P$153:$P$212,Inputs!$C$224:$C$283,Loads!$B$296)-SUMIFS(Loads!$P$153:$P$212,Inputs!$D$224:$D$283,Loads!$B$296),0)</f>
        <v/>
      </c>
      <c r="W296" s="3">
        <f>IF(Loads!$A$296=1,SUMIFS(Loads!$Q$153:$Q$212,Inputs!$C$224:$C$283,Loads!$B$296)-SUMIFS(Loads!$Q$153:$Q$212,Inputs!$D$224:$D$283,Loads!$B$296),0)</f>
        <v/>
      </c>
      <c r="X296" s="3">
        <f>Loads!$D$296*Loads!$W$296-Loads!$E$296*Loads!$V$296</f>
        <v/>
      </c>
      <c r="Y296" s="3">
        <f>IF(Loads!$A$296=1,SUMIFS(Loads!$R$153:$R$212,Inputs!$C$224:$C$283,Loads!$B$296)-SUMIFS(Loads!$R$153:$R$212,Inputs!$D$224:$D$283,Loads!$B$296),0)</f>
        <v/>
      </c>
      <c r="Z296" s="3">
        <f>IF(Loads!$A$296=1,SUMIFS(Loads!$S$153:$S$212,Inputs!$C$224:$C$283,Loads!$B$296)-SUMIFS(Loads!$S$153:$S$212,Inputs!$D$224:$D$283,Loads!$B$296),0)</f>
        <v/>
      </c>
      <c r="AA296" s="3">
        <f>Loads!$D$296*Loads!$Z$296-Loads!$E$296*Loads!$Y$296</f>
        <v/>
      </c>
      <c r="AB296" s="3">
        <f>Loads!$I$296+Loads!$M$296+Loads!$P$296+Loads!$V$296+Loads!$T$296</f>
        <v/>
      </c>
      <c r="AC296" s="3">
        <f>Loads!$J$296+Loads!$N$296+Loads!$Q$296+Loads!$W$296+Loads!$S$296</f>
        <v/>
      </c>
      <c r="AD296" s="3">
        <f>Loads!$K$296+Loads!$O$296+Loads!$R$296+Loads!$X$296+Loads!$U$296</f>
        <v/>
      </c>
    </row>
    <row r="297">
      <c r="A297" s="3">
        <f>Inputs!$A$216</f>
        <v/>
      </c>
      <c r="B297" s="3">
        <f>Geometry!$B$136</f>
        <v/>
      </c>
      <c r="C297" s="3">
        <f>IF(Loads!$A$297=1,Inputs!$C$216&amp;"","")</f>
        <v/>
      </c>
      <c r="D297" s="3">
        <f>Geometry!$K$136</f>
        <v/>
      </c>
      <c r="E297" s="3">
        <f>Geometry!$L$136</f>
        <v/>
      </c>
      <c r="F297" s="3">
        <f>IF(Loads!$A$297=1,SUMIFS(Loads!$V$153:$V$212,Inputs!$C$224:$C$283,Loads!$B$297)+SUMIFS(Loads!$V$153:$V$212,Inputs!$D$224:$D$283,Loads!$B$297),0)</f>
        <v/>
      </c>
      <c r="G297" s="3">
        <f>IF(Loads!$A$297=1,SUMIFS(Loads!$K$139:$K$146,Loads!$I$139:$I$146,Loads!$B$297),0)</f>
        <v/>
      </c>
      <c r="H297" s="3">
        <f>Loads!$F$297+Loads!$G$297</f>
        <v/>
      </c>
      <c r="I297" s="3">
        <f>Loads!$H$297*Loads!$B$15+(-Loads!$H$297*(Loads!$B$17+Loads!$B$19*(Loads!$E$297-Loads!$B$14)))</f>
        <v/>
      </c>
      <c r="J297" s="3">
        <f>Loads!$H$297*Loads!$B$16+(-Loads!$H$297*(Loads!$B$18-Loads!$B$19*(Loads!$D$297-Loads!$B$13)))</f>
        <v/>
      </c>
      <c r="K297" s="3">
        <f>Loads!$D$297*Loads!$J$297-Loads!$E$297*Loads!$I$297</f>
        <v/>
      </c>
      <c r="L297" s="3">
        <f>IF(Loads!$A$297=1,SUMIFS(Loads!$L$139:$L$146,Inputs!$D$304:$D$311,Loads!$B$297),0)</f>
        <v/>
      </c>
      <c r="M297" s="3">
        <f>Loads!$L$297*Loads!$B$15</f>
        <v/>
      </c>
      <c r="N297" s="3">
        <f>Loads!$L$297*Loads!$B$16</f>
        <v/>
      </c>
      <c r="O297" s="3">
        <f>Loads!$D$297*Loads!$N$297-Loads!$E$297*Loads!$M$297</f>
        <v/>
      </c>
      <c r="P297" s="3">
        <f>-Loads!$L$297*(Loads!$B$17+Loads!$B$19*(Loads!$E$297-Loads!$B$14))</f>
        <v/>
      </c>
      <c r="Q297" s="3">
        <f>-Loads!$L$297*(Loads!$B$18-Loads!$B$19*(Loads!$D$297-Loads!$B$13))</f>
        <v/>
      </c>
      <c r="R297" s="3">
        <f>Loads!$D$297*Loads!$Q$297-Loads!$E$297*Loads!$P$297</f>
        <v/>
      </c>
      <c r="S297" s="3">
        <f>IF(AND(Loads!$A$297=1,Loads!$B$26=79),-Loads!$B$24,0)</f>
        <v/>
      </c>
      <c r="T297" s="3">
        <f>IF(AND(Loads!$A$297=1,Loads!$B$27=79),Loads!$B$25,0)</f>
        <v/>
      </c>
      <c r="U297" s="3">
        <f>Loads!$D$297*Loads!$S$297-Loads!$E$297*Loads!$T$297</f>
        <v/>
      </c>
      <c r="V297" s="3">
        <f>IF(Loads!$A$297=1,SUMIFS(Loads!$P$153:$P$212,Inputs!$C$224:$C$283,Loads!$B$297)-SUMIFS(Loads!$P$153:$P$212,Inputs!$D$224:$D$283,Loads!$B$297),0)</f>
        <v/>
      </c>
      <c r="W297" s="3">
        <f>IF(Loads!$A$297=1,SUMIFS(Loads!$Q$153:$Q$212,Inputs!$C$224:$C$283,Loads!$B$297)-SUMIFS(Loads!$Q$153:$Q$212,Inputs!$D$224:$D$283,Loads!$B$297),0)</f>
        <v/>
      </c>
      <c r="X297" s="3">
        <f>Loads!$D$297*Loads!$W$297-Loads!$E$297*Loads!$V$297</f>
        <v/>
      </c>
      <c r="Y297" s="3">
        <f>IF(Loads!$A$297=1,SUMIFS(Loads!$R$153:$R$212,Inputs!$C$224:$C$283,Loads!$B$297)-SUMIFS(Loads!$R$153:$R$212,Inputs!$D$224:$D$283,Loads!$B$297),0)</f>
        <v/>
      </c>
      <c r="Z297" s="3">
        <f>IF(Loads!$A$297=1,SUMIFS(Loads!$S$153:$S$212,Inputs!$C$224:$C$283,Loads!$B$297)-SUMIFS(Loads!$S$153:$S$212,Inputs!$D$224:$D$283,Loads!$B$297),0)</f>
        <v/>
      </c>
      <c r="AA297" s="3">
        <f>Loads!$D$297*Loads!$Z$297-Loads!$E$297*Loads!$Y$297</f>
        <v/>
      </c>
      <c r="AB297" s="3">
        <f>Loads!$I$297+Loads!$M$297+Loads!$P$297+Loads!$V$297+Loads!$T$297</f>
        <v/>
      </c>
      <c r="AC297" s="3">
        <f>Loads!$J$297+Loads!$N$297+Loads!$Q$297+Loads!$W$297+Loads!$S$297</f>
        <v/>
      </c>
      <c r="AD297" s="3">
        <f>Loads!$K$297+Loads!$O$297+Loads!$R$297+Loads!$X$297+Loads!$U$297</f>
        <v/>
      </c>
    </row>
    <row r="298">
      <c r="A298" s="3">
        <f>Inputs!$A$217</f>
        <v/>
      </c>
      <c r="B298" s="3">
        <f>Geometry!$B$137</f>
        <v/>
      </c>
      <c r="C298" s="3">
        <f>IF(Loads!$A$298=1,Inputs!$C$217&amp;"","")</f>
        <v/>
      </c>
      <c r="D298" s="3">
        <f>Geometry!$K$137</f>
        <v/>
      </c>
      <c r="E298" s="3">
        <f>Geometry!$L$137</f>
        <v/>
      </c>
      <c r="F298" s="3">
        <f>IF(Loads!$A$298=1,SUMIFS(Loads!$V$153:$V$212,Inputs!$C$224:$C$283,Loads!$B$298)+SUMIFS(Loads!$V$153:$V$212,Inputs!$D$224:$D$283,Loads!$B$298),0)</f>
        <v/>
      </c>
      <c r="G298" s="3">
        <f>IF(Loads!$A$298=1,SUMIFS(Loads!$K$139:$K$146,Loads!$I$139:$I$146,Loads!$B$298),0)</f>
        <v/>
      </c>
      <c r="H298" s="3">
        <f>Loads!$F$298+Loads!$G$298</f>
        <v/>
      </c>
      <c r="I298" s="3">
        <f>Loads!$H$298*Loads!$B$15+(-Loads!$H$298*(Loads!$B$17+Loads!$B$19*(Loads!$E$298-Loads!$B$14)))</f>
        <v/>
      </c>
      <c r="J298" s="3">
        <f>Loads!$H$298*Loads!$B$16+(-Loads!$H$298*(Loads!$B$18-Loads!$B$19*(Loads!$D$298-Loads!$B$13)))</f>
        <v/>
      </c>
      <c r="K298" s="3">
        <f>Loads!$D$298*Loads!$J$298-Loads!$E$298*Loads!$I$298</f>
        <v/>
      </c>
      <c r="L298" s="3">
        <f>IF(Loads!$A$298=1,SUMIFS(Loads!$L$139:$L$146,Inputs!$D$304:$D$311,Loads!$B$298),0)</f>
        <v/>
      </c>
      <c r="M298" s="3">
        <f>Loads!$L$298*Loads!$B$15</f>
        <v/>
      </c>
      <c r="N298" s="3">
        <f>Loads!$L$298*Loads!$B$16</f>
        <v/>
      </c>
      <c r="O298" s="3">
        <f>Loads!$D$298*Loads!$N$298-Loads!$E$298*Loads!$M$298</f>
        <v/>
      </c>
      <c r="P298" s="3">
        <f>-Loads!$L$298*(Loads!$B$17+Loads!$B$19*(Loads!$E$298-Loads!$B$14))</f>
        <v/>
      </c>
      <c r="Q298" s="3">
        <f>-Loads!$L$298*(Loads!$B$18-Loads!$B$19*(Loads!$D$298-Loads!$B$13))</f>
        <v/>
      </c>
      <c r="R298" s="3">
        <f>Loads!$D$298*Loads!$Q$298-Loads!$E$298*Loads!$P$298</f>
        <v/>
      </c>
      <c r="S298" s="3">
        <f>IF(AND(Loads!$A$298=1,Loads!$B$26=80),-Loads!$B$24,0)</f>
        <v/>
      </c>
      <c r="T298" s="3">
        <f>IF(AND(Loads!$A$298=1,Loads!$B$27=80),Loads!$B$25,0)</f>
        <v/>
      </c>
      <c r="U298" s="3">
        <f>Loads!$D$298*Loads!$S$298-Loads!$E$298*Loads!$T$298</f>
        <v/>
      </c>
      <c r="V298" s="3">
        <f>IF(Loads!$A$298=1,SUMIFS(Loads!$P$153:$P$212,Inputs!$C$224:$C$283,Loads!$B$298)-SUMIFS(Loads!$P$153:$P$212,Inputs!$D$224:$D$283,Loads!$B$298),0)</f>
        <v/>
      </c>
      <c r="W298" s="3">
        <f>IF(Loads!$A$298=1,SUMIFS(Loads!$Q$153:$Q$212,Inputs!$C$224:$C$283,Loads!$B$298)-SUMIFS(Loads!$Q$153:$Q$212,Inputs!$D$224:$D$283,Loads!$B$298),0)</f>
        <v/>
      </c>
      <c r="X298" s="3">
        <f>Loads!$D$298*Loads!$W$298-Loads!$E$298*Loads!$V$298</f>
        <v/>
      </c>
      <c r="Y298" s="3">
        <f>IF(Loads!$A$298=1,SUMIFS(Loads!$R$153:$R$212,Inputs!$C$224:$C$283,Loads!$B$298)-SUMIFS(Loads!$R$153:$R$212,Inputs!$D$224:$D$283,Loads!$B$298),0)</f>
        <v/>
      </c>
      <c r="Z298" s="3">
        <f>IF(Loads!$A$298=1,SUMIFS(Loads!$S$153:$S$212,Inputs!$C$224:$C$283,Loads!$B$298)-SUMIFS(Loads!$S$153:$S$212,Inputs!$D$224:$D$283,Loads!$B$298),0)</f>
        <v/>
      </c>
      <c r="AA298" s="3">
        <f>Loads!$D$298*Loads!$Z$298-Loads!$E$298*Loads!$Y$298</f>
        <v/>
      </c>
      <c r="AB298" s="3">
        <f>Loads!$I$298+Loads!$M$298+Loads!$P$298+Loads!$V$298+Loads!$T$298</f>
        <v/>
      </c>
      <c r="AC298" s="3">
        <f>Loads!$J$298+Loads!$N$298+Loads!$Q$298+Loads!$W$298+Loads!$S$298</f>
        <v/>
      </c>
      <c r="AD298" s="3">
        <f>Loads!$K$298+Loads!$O$298+Loads!$R$298+Loads!$X$298+Loads!$U$298</f>
        <v/>
      </c>
    </row>
    <row r="302">
      <c r="A302" s="6" t="inlineStr">
        <is>
          <t>Body totals (Statics reads these)</t>
        </is>
      </c>
    </row>
    <row r="303">
      <c r="A303" s="8" t="inlineStr">
        <is>
          <t>Body</t>
        </is>
      </c>
      <c r="B303" s="8" t="inlineStr">
        <is>
          <t>Gravity FX [kN]</t>
        </is>
      </c>
      <c r="C303" s="8" t="inlineStr">
        <is>
          <t>Gravity FZ [kN]</t>
        </is>
      </c>
      <c r="D303" s="8" t="inlineStr">
        <is>
          <t>Gravity M [kNm]</t>
        </is>
      </c>
      <c r="E303" s="8" t="inlineStr">
        <is>
          <t>Rope weight FX [kN]</t>
        </is>
      </c>
      <c r="F303" s="8" t="inlineStr">
        <is>
          <t>Rope weight FZ [kN]</t>
        </is>
      </c>
      <c r="G303" s="8" t="inlineStr">
        <is>
          <t>Rope weight M [kNm]</t>
        </is>
      </c>
      <c r="H303" s="8" t="inlineStr">
        <is>
          <t>Idle hook mass FX [kN]</t>
        </is>
      </c>
      <c r="I303" s="8" t="inlineStr">
        <is>
          <t>Idle hook mass FZ [kN]</t>
        </is>
      </c>
      <c r="J303" s="8" t="inlineStr">
        <is>
          <t>Idle hook mass M [kNm]</t>
        </is>
      </c>
      <c r="K303" s="8" t="inlineStr">
        <is>
          <t>Hook load FX [kN]</t>
        </is>
      </c>
      <c r="L303" s="8" t="inlineStr">
        <is>
          <t>Hook load FZ [kN]</t>
        </is>
      </c>
      <c r="M303" s="8" t="inlineStr">
        <is>
          <t>Hook load M [kNm]</t>
        </is>
      </c>
      <c r="N303" s="8" t="inlineStr">
        <is>
          <t>Wind FX [kN]</t>
        </is>
      </c>
      <c r="O303" s="8" t="inlineStr">
        <is>
          <t>Wind FZ [kN]</t>
        </is>
      </c>
      <c r="P303" s="8" t="inlineStr">
        <is>
          <t>Wind M [kNm]</t>
        </is>
      </c>
      <c r="Q303" s="8" t="inlineStr">
        <is>
          <t>Inertia FX [kN]</t>
        </is>
      </c>
      <c r="R303" s="8" t="inlineStr">
        <is>
          <t>Inertia FZ [kN]</t>
        </is>
      </c>
      <c r="S303" s="8" t="inlineStr">
        <is>
          <t>Inertia M [kNm]</t>
        </is>
      </c>
      <c r="T303" s="8" t="inlineStr">
        <is>
          <t>Rope interface FX [kN]</t>
        </is>
      </c>
      <c r="U303" s="8" t="inlineStr">
        <is>
          <t>Rope interface FZ [kN]</t>
        </is>
      </c>
      <c r="V303" s="8" t="inlineStr">
        <is>
          <t>Rope interface M [kNm]</t>
        </is>
      </c>
      <c r="W303" s="8" t="inlineStr">
        <is>
          <t>Known load Fx (sum) [kN]</t>
        </is>
      </c>
      <c r="X303" s="8" t="inlineStr">
        <is>
          <t>Known load Fz (sum) [kN]</t>
        </is>
      </c>
      <c r="Y303" s="8" t="inlineStr">
        <is>
          <t>Known load moment (sum) [kNm]</t>
        </is>
      </c>
      <c r="Z303" s="8" t="inlineStr">
        <is>
          <t>Solve rope coefficient Fx [kN/kN]</t>
        </is>
      </c>
      <c r="AA303" s="8" t="inlineStr">
        <is>
          <t>Solve rope coefficient Fz [kN/kN]</t>
        </is>
      </c>
      <c r="AB303" s="8" t="inlineStr">
        <is>
          <t>Solve rope coefficient moment [kNm/kN]</t>
        </is>
      </c>
    </row>
    <row r="304">
      <c r="A304" s="7" t="inlineStr">
        <is>
          <t>body</t>
        </is>
      </c>
      <c r="B304" s="7" t="inlineStr">
        <is>
          <t>gravity_fx</t>
        </is>
      </c>
      <c r="C304" s="7" t="inlineStr">
        <is>
          <t>gravity_fz</t>
        </is>
      </c>
      <c r="D304" s="7" t="inlineStr">
        <is>
          <t>gravity_m</t>
        </is>
      </c>
      <c r="E304" s="7" t="inlineStr">
        <is>
          <t>rope_weight_fx</t>
        </is>
      </c>
      <c r="F304" s="7" t="inlineStr">
        <is>
          <t>rope_weight_fz</t>
        </is>
      </c>
      <c r="G304" s="7" t="inlineStr">
        <is>
          <t>rope_weight_m</t>
        </is>
      </c>
      <c r="H304" s="7" t="inlineStr">
        <is>
          <t>idle_hook_fx</t>
        </is>
      </c>
      <c r="I304" s="7" t="inlineStr">
        <is>
          <t>idle_hook_fz</t>
        </is>
      </c>
      <c r="J304" s="7" t="inlineStr">
        <is>
          <t>idle_hook_m</t>
        </is>
      </c>
      <c r="K304" s="7" t="inlineStr">
        <is>
          <t>hook_fx</t>
        </is>
      </c>
      <c r="L304" s="7" t="inlineStr">
        <is>
          <t>hook_fz</t>
        </is>
      </c>
      <c r="M304" s="7" t="inlineStr">
        <is>
          <t>hook_m</t>
        </is>
      </c>
      <c r="N304" s="7" t="inlineStr">
        <is>
          <t>wind_fx</t>
        </is>
      </c>
      <c r="O304" s="7" t="inlineStr">
        <is>
          <t>wind_fz</t>
        </is>
      </c>
      <c r="P304" s="7" t="inlineStr">
        <is>
          <t>wind_m</t>
        </is>
      </c>
      <c r="Q304" s="7" t="inlineStr">
        <is>
          <t>inertia_fx</t>
        </is>
      </c>
      <c r="R304" s="7" t="inlineStr">
        <is>
          <t>inertia_fz</t>
        </is>
      </c>
      <c r="S304" s="7" t="inlineStr">
        <is>
          <t>inertia_m</t>
        </is>
      </c>
      <c r="T304" s="7" t="inlineStr">
        <is>
          <t>rope_fx</t>
        </is>
      </c>
      <c r="U304" s="7" t="inlineStr">
        <is>
          <t>rope_fz</t>
        </is>
      </c>
      <c r="V304" s="7" t="inlineStr">
        <is>
          <t>rope_m</t>
        </is>
      </c>
      <c r="W304" s="7" t="inlineStr">
        <is>
          <t>fx (solver ld Fx)</t>
        </is>
      </c>
      <c r="X304" s="7" t="inlineStr">
        <is>
          <t>fz (solver ld Fz)</t>
        </is>
      </c>
      <c r="Y304" s="7" t="inlineStr">
        <is>
          <t>m (solver ld M)</t>
        </is>
      </c>
      <c r="Z304" s="7" t="inlineStr">
        <is>
          <t>bh_fx (solver bh Fx)</t>
        </is>
      </c>
      <c r="AA304" s="7" t="inlineStr">
        <is>
          <t>bh_fz (solver bh Fz)</t>
        </is>
      </c>
      <c r="AB304" s="7" t="inlineStr">
        <is>
          <t>bh_m (solver bh M)</t>
        </is>
      </c>
    </row>
    <row r="305">
      <c r="A305" t="inlineStr">
        <is>
          <t>boom</t>
        </is>
      </c>
      <c r="B305" s="3">
        <f>SUMIFS(Loads!$F$33:$F$72,Loads!$B$33:$B$72,Loads!$A$305)</f>
        <v/>
      </c>
      <c r="C305" s="3">
        <f>SUMIFS(Loads!$G$33:$G$72,Loads!$B$33:$B$72,Loads!$A$305)</f>
        <v/>
      </c>
      <c r="D305" s="3">
        <f>SUMIFS(Loads!$H$33:$H$72,Loads!$B$33:$B$72,Loads!$A$305)</f>
        <v/>
      </c>
      <c r="E305" s="3">
        <f>SUMIFS(Loads!$I$219:$I$298,Loads!$C$219:$C$298,Loads!$A$305)</f>
        <v/>
      </c>
      <c r="F305" s="3">
        <f>SUMIFS(Loads!$J$219:$J$298,Loads!$C$219:$C$298,Loads!$A$305)</f>
        <v/>
      </c>
      <c r="G305" s="3">
        <f>SUMIFS(Loads!$K$219:$K$298,Loads!$C$219:$C$298,Loads!$A$305)</f>
        <v/>
      </c>
      <c r="H305" s="3">
        <f>SUMIFS(Loads!$M$219:$M$298,Loads!$C$219:$C$298,Loads!$A$305)</f>
        <v/>
      </c>
      <c r="I305" s="3">
        <f>SUMIFS(Loads!$N$219:$N$298,Loads!$C$219:$C$298,Loads!$A$305)</f>
        <v/>
      </c>
      <c r="J305" s="3">
        <f>SUMIFS(Loads!$O$219:$O$298,Loads!$C$219:$C$298,Loads!$A$305)</f>
        <v/>
      </c>
      <c r="K305" s="3">
        <f>SUMIFS(Loads!$T$219:$T$298,Loads!$C$219:$C$298,Loads!$A$305)</f>
        <v/>
      </c>
      <c r="L305" s="3">
        <f>SUMIFS(Loads!$S$219:$S$298,Loads!$C$219:$C$298,Loads!$A$305)</f>
        <v/>
      </c>
      <c r="M305" s="3">
        <f>SUMIFS(Loads!$U$219:$U$298,Loads!$C$219:$C$298,Loads!$A$305)</f>
        <v/>
      </c>
      <c r="N305" s="3">
        <f>SUMIFS(Loads!$G$79:$G$118,Loads!$B$79:$B$118,Loads!$A$305)</f>
        <v/>
      </c>
      <c r="O305" s="3">
        <f>0</f>
        <v/>
      </c>
      <c r="P305" s="3">
        <f>SUMIFS(Loads!$H$79:$H$118,Loads!$B$79:$B$118,Loads!$A$305)</f>
        <v/>
      </c>
      <c r="Q305" s="3">
        <f>SUMIFS(Loads!$I$33:$I$72,Loads!$B$33:$B$72,Loads!$A$305)+SUMIFS(Loads!$P$219:$P$298,Loads!$C$219:$C$298,Loads!$A$305)</f>
        <v/>
      </c>
      <c r="R305" s="3">
        <f>SUMIFS(Loads!$J$33:$J$72,Loads!$B$33:$B$72,Loads!$A$305)+SUMIFS(Loads!$Q$219:$Q$298,Loads!$C$219:$C$298,Loads!$A$305)</f>
        <v/>
      </c>
      <c r="S305" s="3">
        <f>SUMIFS(Loads!$K$33:$K$72,Loads!$B$33:$B$72,Loads!$A$305)+SUMIFS(Loads!$R$219:$R$298,Loads!$C$219:$C$298,Loads!$A$305)</f>
        <v/>
      </c>
      <c r="T305" s="3">
        <f>SUMIFS(Loads!$V$219:$V$298,Loads!$C$219:$C$298,Loads!$A$305)</f>
        <v/>
      </c>
      <c r="U305" s="3">
        <f>SUMIFS(Loads!$W$219:$W$298,Loads!$C$219:$C$298,Loads!$A$305)</f>
        <v/>
      </c>
      <c r="V305" s="3">
        <f>SUMIFS(Loads!$X$219:$X$298,Loads!$C$219:$C$298,Loads!$A$305)</f>
        <v/>
      </c>
      <c r="W305" s="3">
        <f>Loads!$B$305+Loads!$E$305+Loads!$H$305+Loads!$K$305+Loads!$N$305+Loads!$Q$305+Loads!$T$305</f>
        <v/>
      </c>
      <c r="X305" s="3">
        <f>Loads!$C$305+Loads!$F$305+Loads!$I$305+Loads!$L$305+Loads!$O$305+Loads!$R$305+Loads!$U$305</f>
        <v/>
      </c>
      <c r="Y305" s="3">
        <f>Loads!$D$305+Loads!$G$305+Loads!$J$305+Loads!$M$305+Loads!$P$305+Loads!$S$305+Loads!$V$305</f>
        <v/>
      </c>
      <c r="Z305" s="3">
        <f>SUMIFS(Loads!$Y$219:$Y$298,Loads!$C$219:$C$298,Loads!$A$305)</f>
        <v/>
      </c>
      <c r="AA305" s="3">
        <f>SUMIFS(Loads!$Z$219:$Z$298,Loads!$C$219:$C$298,Loads!$A$305)</f>
        <v/>
      </c>
      <c r="AB305" s="3">
        <f>SUMIFS(Loads!$AA$219:$AA$298,Loads!$C$219:$C$298,Loads!$A$305)</f>
        <v/>
      </c>
    </row>
    <row r="306">
      <c r="A306" t="inlineStr">
        <is>
          <t>rear_leg</t>
        </is>
      </c>
      <c r="B306" s="3">
        <f>SUMIFS(Loads!$F$33:$F$72,Loads!$B$33:$B$72,Loads!$A$306)</f>
        <v/>
      </c>
      <c r="C306" s="3">
        <f>SUMIFS(Loads!$G$33:$G$72,Loads!$B$33:$B$72,Loads!$A$306)</f>
        <v/>
      </c>
      <c r="D306" s="3">
        <f>SUMIFS(Loads!$H$33:$H$72,Loads!$B$33:$B$72,Loads!$A$306)</f>
        <v/>
      </c>
      <c r="E306" s="3">
        <f>SUMIFS(Loads!$I$219:$I$298,Loads!$C$219:$C$298,Loads!$A$306)</f>
        <v/>
      </c>
      <c r="F306" s="3">
        <f>SUMIFS(Loads!$J$219:$J$298,Loads!$C$219:$C$298,Loads!$A$306)</f>
        <v/>
      </c>
      <c r="G306" s="3">
        <f>SUMIFS(Loads!$K$219:$K$298,Loads!$C$219:$C$298,Loads!$A$306)</f>
        <v/>
      </c>
      <c r="H306" s="3">
        <f>SUMIFS(Loads!$M$219:$M$298,Loads!$C$219:$C$298,Loads!$A$306)</f>
        <v/>
      </c>
      <c r="I306" s="3">
        <f>SUMIFS(Loads!$N$219:$N$298,Loads!$C$219:$C$298,Loads!$A$306)</f>
        <v/>
      </c>
      <c r="J306" s="3">
        <f>SUMIFS(Loads!$O$219:$O$298,Loads!$C$219:$C$298,Loads!$A$306)</f>
        <v/>
      </c>
      <c r="K306" s="3">
        <f>SUMIFS(Loads!$T$219:$T$298,Loads!$C$219:$C$298,Loads!$A$306)</f>
        <v/>
      </c>
      <c r="L306" s="3">
        <f>SUMIFS(Loads!$S$219:$S$298,Loads!$C$219:$C$298,Loads!$A$306)</f>
        <v/>
      </c>
      <c r="M306" s="3">
        <f>SUMIFS(Loads!$U$219:$U$298,Loads!$C$219:$C$298,Loads!$A$306)</f>
        <v/>
      </c>
      <c r="N306" s="3">
        <f>SUMIFS(Loads!$G$79:$G$118,Loads!$B$79:$B$118,Loads!$A$306)</f>
        <v/>
      </c>
      <c r="O306" s="3">
        <f>0</f>
        <v/>
      </c>
      <c r="P306" s="3">
        <f>SUMIFS(Loads!$H$79:$H$118,Loads!$B$79:$B$118,Loads!$A$306)</f>
        <v/>
      </c>
      <c r="Q306" s="3">
        <f>SUMIFS(Loads!$I$33:$I$72,Loads!$B$33:$B$72,Loads!$A$306)+SUMIFS(Loads!$P$219:$P$298,Loads!$C$219:$C$298,Loads!$A$306)</f>
        <v/>
      </c>
      <c r="R306" s="3">
        <f>SUMIFS(Loads!$J$33:$J$72,Loads!$B$33:$B$72,Loads!$A$306)+SUMIFS(Loads!$Q$219:$Q$298,Loads!$C$219:$C$298,Loads!$A$306)</f>
        <v/>
      </c>
      <c r="S306" s="3">
        <f>SUMIFS(Loads!$K$33:$K$72,Loads!$B$33:$B$72,Loads!$A$306)+SUMIFS(Loads!$R$219:$R$298,Loads!$C$219:$C$298,Loads!$A$306)</f>
        <v/>
      </c>
      <c r="T306" s="3">
        <f>SUMIFS(Loads!$V$219:$V$298,Loads!$C$219:$C$298,Loads!$A$306)</f>
        <v/>
      </c>
      <c r="U306" s="3">
        <f>SUMIFS(Loads!$W$219:$W$298,Loads!$C$219:$C$298,Loads!$A$306)</f>
        <v/>
      </c>
      <c r="V306" s="3">
        <f>SUMIFS(Loads!$X$219:$X$298,Loads!$C$219:$C$298,Loads!$A$306)</f>
        <v/>
      </c>
      <c r="W306" s="3">
        <f>Loads!$B$306+Loads!$E$306+Loads!$H$306+Loads!$K$306+Loads!$N$306+Loads!$Q$306+Loads!$T$306</f>
        <v/>
      </c>
      <c r="X306" s="3">
        <f>Loads!$C$306+Loads!$F$306+Loads!$I$306+Loads!$L$306+Loads!$O$306+Loads!$R$306+Loads!$U$306</f>
        <v/>
      </c>
      <c r="Y306" s="3">
        <f>Loads!$D$306+Loads!$G$306+Loads!$J$306+Loads!$M$306+Loads!$P$306+Loads!$S$306+Loads!$V$306</f>
        <v/>
      </c>
      <c r="Z306" s="3">
        <f>SUMIFS(Loads!$Y$219:$Y$298,Loads!$C$219:$C$298,Loads!$A$306)</f>
        <v/>
      </c>
      <c r="AA306" s="3">
        <f>SUMIFS(Loads!$Z$219:$Z$298,Loads!$C$219:$C$298,Loads!$A$306)</f>
        <v/>
      </c>
      <c r="AB306" s="3">
        <f>SUMIFS(Loads!$AA$219:$AA$298,Loads!$C$219:$C$298,Loads!$A$306)</f>
        <v/>
      </c>
    </row>
    <row r="307">
      <c r="A307" t="inlineStr">
        <is>
          <t>front_leg</t>
        </is>
      </c>
      <c r="B307" s="3">
        <f>SUMIFS(Loads!$F$33:$F$72,Loads!$B$33:$B$72,Loads!$A$307)</f>
        <v/>
      </c>
      <c r="C307" s="3">
        <f>SUMIFS(Loads!$G$33:$G$72,Loads!$B$33:$B$72,Loads!$A$307)</f>
        <v/>
      </c>
      <c r="D307" s="3">
        <f>SUMIFS(Loads!$H$33:$H$72,Loads!$B$33:$B$72,Loads!$A$307)</f>
        <v/>
      </c>
      <c r="E307" s="3">
        <f>SUMIFS(Loads!$I$219:$I$298,Loads!$C$219:$C$298,Loads!$A$307)</f>
        <v/>
      </c>
      <c r="F307" s="3">
        <f>SUMIFS(Loads!$J$219:$J$298,Loads!$C$219:$C$298,Loads!$A$307)</f>
        <v/>
      </c>
      <c r="G307" s="3">
        <f>SUMIFS(Loads!$K$219:$K$298,Loads!$C$219:$C$298,Loads!$A$307)</f>
        <v/>
      </c>
      <c r="H307" s="3">
        <f>SUMIFS(Loads!$M$219:$M$298,Loads!$C$219:$C$298,Loads!$A$307)</f>
        <v/>
      </c>
      <c r="I307" s="3">
        <f>SUMIFS(Loads!$N$219:$N$298,Loads!$C$219:$C$298,Loads!$A$307)</f>
        <v/>
      </c>
      <c r="J307" s="3">
        <f>SUMIFS(Loads!$O$219:$O$298,Loads!$C$219:$C$298,Loads!$A$307)</f>
        <v/>
      </c>
      <c r="K307" s="3">
        <f>SUMIFS(Loads!$T$219:$T$298,Loads!$C$219:$C$298,Loads!$A$307)</f>
        <v/>
      </c>
      <c r="L307" s="3">
        <f>SUMIFS(Loads!$S$219:$S$298,Loads!$C$219:$C$298,Loads!$A$307)</f>
        <v/>
      </c>
      <c r="M307" s="3">
        <f>SUMIFS(Loads!$U$219:$U$298,Loads!$C$219:$C$298,Loads!$A$307)</f>
        <v/>
      </c>
      <c r="N307" s="3">
        <f>SUMIFS(Loads!$G$79:$G$118,Loads!$B$79:$B$118,Loads!$A$307)</f>
        <v/>
      </c>
      <c r="O307" s="3">
        <f>0</f>
        <v/>
      </c>
      <c r="P307" s="3">
        <f>SUMIFS(Loads!$H$79:$H$118,Loads!$B$79:$B$118,Loads!$A$307)</f>
        <v/>
      </c>
      <c r="Q307" s="3">
        <f>SUMIFS(Loads!$I$33:$I$72,Loads!$B$33:$B$72,Loads!$A$307)+SUMIFS(Loads!$P$219:$P$298,Loads!$C$219:$C$298,Loads!$A$307)</f>
        <v/>
      </c>
      <c r="R307" s="3">
        <f>SUMIFS(Loads!$J$33:$J$72,Loads!$B$33:$B$72,Loads!$A$307)+SUMIFS(Loads!$Q$219:$Q$298,Loads!$C$219:$C$298,Loads!$A$307)</f>
        <v/>
      </c>
      <c r="S307" s="3">
        <f>SUMIFS(Loads!$K$33:$K$72,Loads!$B$33:$B$72,Loads!$A$307)+SUMIFS(Loads!$R$219:$R$298,Loads!$C$219:$C$298,Loads!$A$307)</f>
        <v/>
      </c>
      <c r="T307" s="3">
        <f>SUMIFS(Loads!$V$219:$V$298,Loads!$C$219:$C$298,Loads!$A$307)</f>
        <v/>
      </c>
      <c r="U307" s="3">
        <f>SUMIFS(Loads!$W$219:$W$298,Loads!$C$219:$C$298,Loads!$A$307)</f>
        <v/>
      </c>
      <c r="V307" s="3">
        <f>SUMIFS(Loads!$X$219:$X$298,Loads!$C$219:$C$298,Loads!$A$307)</f>
        <v/>
      </c>
      <c r="W307" s="3">
        <f>Loads!$B$307+Loads!$E$307+Loads!$H$307+Loads!$K$307+Loads!$N$307+Loads!$Q$307+Loads!$T$307</f>
        <v/>
      </c>
      <c r="X307" s="3">
        <f>Loads!$C$307+Loads!$F$307+Loads!$I$307+Loads!$L$307+Loads!$O$307+Loads!$R$307+Loads!$U$307</f>
        <v/>
      </c>
      <c r="Y307" s="3">
        <f>Loads!$D$307+Loads!$G$307+Loads!$J$307+Loads!$M$307+Loads!$P$307+Loads!$S$307+Loads!$V$307</f>
        <v/>
      </c>
      <c r="Z307" s="3">
        <f>SUMIFS(Loads!$Y$219:$Y$298,Loads!$C$219:$C$298,Loads!$A$307)</f>
        <v/>
      </c>
      <c r="AA307" s="3">
        <f>SUMIFS(Loads!$Z$219:$Z$298,Loads!$C$219:$C$298,Loads!$A$307)</f>
        <v/>
      </c>
      <c r="AB307" s="3">
        <f>SUMIFS(Loads!$AA$219:$AA$298,Loads!$C$219:$C$298,Loads!$A$307)</f>
        <v/>
      </c>
    </row>
    <row r="308">
      <c r="A308" t="inlineStr">
        <is>
          <t>platform</t>
        </is>
      </c>
      <c r="B308" s="3">
        <f>SUMIFS(Loads!$F$33:$F$72,Loads!$B$33:$B$72,Loads!$A$308)</f>
        <v/>
      </c>
      <c r="C308" s="3">
        <f>SUMIFS(Loads!$G$33:$G$72,Loads!$B$33:$B$72,Loads!$A$308)</f>
        <v/>
      </c>
      <c r="D308" s="3">
        <f>SUMIFS(Loads!$H$33:$H$72,Loads!$B$33:$B$72,Loads!$A$308)</f>
        <v/>
      </c>
      <c r="E308" s="3">
        <f>SUMIFS(Loads!$I$219:$I$298,Loads!$C$219:$C$298,Loads!$A$308)</f>
        <v/>
      </c>
      <c r="F308" s="3">
        <f>SUMIFS(Loads!$J$219:$J$298,Loads!$C$219:$C$298,Loads!$A$308)</f>
        <v/>
      </c>
      <c r="G308" s="3">
        <f>SUMIFS(Loads!$K$219:$K$298,Loads!$C$219:$C$298,Loads!$A$308)</f>
        <v/>
      </c>
      <c r="H308" s="3">
        <f>SUMIFS(Loads!$M$219:$M$298,Loads!$C$219:$C$298,Loads!$A$308)</f>
        <v/>
      </c>
      <c r="I308" s="3">
        <f>SUMIFS(Loads!$N$219:$N$298,Loads!$C$219:$C$298,Loads!$A$308)</f>
        <v/>
      </c>
      <c r="J308" s="3">
        <f>SUMIFS(Loads!$O$219:$O$298,Loads!$C$219:$C$298,Loads!$A$308)</f>
        <v/>
      </c>
      <c r="K308" s="3">
        <f>SUMIFS(Loads!$T$219:$T$298,Loads!$C$219:$C$298,Loads!$A$308)</f>
        <v/>
      </c>
      <c r="L308" s="3">
        <f>SUMIFS(Loads!$S$219:$S$298,Loads!$C$219:$C$298,Loads!$A$308)</f>
        <v/>
      </c>
      <c r="M308" s="3">
        <f>SUMIFS(Loads!$U$219:$U$298,Loads!$C$219:$C$298,Loads!$A$308)</f>
        <v/>
      </c>
      <c r="N308" s="3">
        <f>SUMIFS(Loads!$G$79:$G$118,Loads!$B$79:$B$118,Loads!$A$308)</f>
        <v/>
      </c>
      <c r="O308" s="3">
        <f>0</f>
        <v/>
      </c>
      <c r="P308" s="3">
        <f>SUMIFS(Loads!$H$79:$H$118,Loads!$B$79:$B$118,Loads!$A$308)</f>
        <v/>
      </c>
      <c r="Q308" s="3">
        <f>SUMIFS(Loads!$I$33:$I$72,Loads!$B$33:$B$72,Loads!$A$308)+SUMIFS(Loads!$P$219:$P$298,Loads!$C$219:$C$298,Loads!$A$308)</f>
        <v/>
      </c>
      <c r="R308" s="3">
        <f>SUMIFS(Loads!$J$33:$J$72,Loads!$B$33:$B$72,Loads!$A$308)+SUMIFS(Loads!$Q$219:$Q$298,Loads!$C$219:$C$298,Loads!$A$308)</f>
        <v/>
      </c>
      <c r="S308" s="3">
        <f>SUMIFS(Loads!$K$33:$K$72,Loads!$B$33:$B$72,Loads!$A$308)+SUMIFS(Loads!$R$219:$R$298,Loads!$C$219:$C$298,Loads!$A$308)</f>
        <v/>
      </c>
      <c r="T308" s="3">
        <f>SUMIFS(Loads!$V$219:$V$298,Loads!$C$219:$C$298,Loads!$A$308)</f>
        <v/>
      </c>
      <c r="U308" s="3">
        <f>SUMIFS(Loads!$W$219:$W$298,Loads!$C$219:$C$298,Loads!$A$308)</f>
        <v/>
      </c>
      <c r="V308" s="3">
        <f>SUMIFS(Loads!$X$219:$X$298,Loads!$C$219:$C$298,Loads!$A$308)</f>
        <v/>
      </c>
      <c r="W308" s="3">
        <f>Loads!$B$308+Loads!$E$308+Loads!$H$308+Loads!$K$308+Loads!$N$308+Loads!$Q$308+Loads!$T$308</f>
        <v/>
      </c>
      <c r="X308" s="3">
        <f>Loads!$C$308+Loads!$F$308+Loads!$I$308+Loads!$L$308+Loads!$O$308+Loads!$R$308+Loads!$U$308</f>
        <v/>
      </c>
      <c r="Y308" s="3">
        <f>Loads!$D$308+Loads!$G$308+Loads!$J$308+Loads!$M$308+Loads!$P$308+Loads!$S$308+Loads!$V$308</f>
        <v/>
      </c>
      <c r="Z308" s="3">
        <f>SUMIFS(Loads!$Y$219:$Y$298,Loads!$C$219:$C$298,Loads!$A$308)</f>
        <v/>
      </c>
      <c r="AA308" s="3">
        <f>SUMIFS(Loads!$Z$219:$Z$298,Loads!$C$219:$C$298,Loads!$A$308)</f>
        <v/>
      </c>
      <c r="AB308" s="3">
        <f>SUMIFS(Loads!$AA$219:$AA$298,Loads!$C$219:$C$298,Loads!$A$308)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Statics -- boom and leg-frame equilibrium solves</t>
        </is>
      </c>
    </row>
    <row r="3">
      <c r="A3" s="9" t="inlineStr">
        <is>
          <t>The app's in-plane statics, solved once with the actual loads (calculation/solver/crane_solver.py _run_statics): boom 3x3, then the leg frame 6x6, then the platform resultant. Moments are about the origin (M = x Fz - z Fx).</t>
        </is>
      </c>
    </row>
    <row r="4">
      <c r="A4" s="9" t="inlineStr">
        <is>
          <t>Body loads = known loads (Loads body totals fx/fz/m) + T_bh x solve-rope coefficients (bh_fx/bh_fz/bh_m). Unknowns are the forces the supports exert on the body solved for (heel and leg-base reactions: weight gives positive Fz).</t>
        </is>
      </c>
    </row>
    <row r="5">
      <c r="A5" s="9" t="inlineStr">
        <is>
          <t>Each system A x = b is solved with MMULT(MINVERSE(A), b) (a legacy array formula). The app calls np.linalg.solve and gives no result when it raises (an exactly singular matrix). Here a matrix is flagged singular when |det A| &lt;= 1e-12 x the product of its row norms (Hadamard bound), or when MINVERSE fails; the solution column then reads 0 and Results shows a message.</t>
        </is>
      </c>
    </row>
    <row r="6">
      <c r="A6" s="9" t="inlineStr">
        <is>
          <t>With no active solve rope the boom matrix's third column is all zero: the app shows no results (compute_analysis_point returns None); Results says so.</t>
        </is>
      </c>
    </row>
    <row r="9">
      <c r="A9" s="6" t="inlineStr">
        <is>
          <t>Status</t>
        </is>
      </c>
    </row>
    <row r="10">
      <c r="A10" t="inlineStr">
        <is>
          <t>Active solve ropes</t>
        </is>
      </c>
      <c r="B10" s="3">
        <f>COUNTIFS(Inputs!$A$290:$A$297,1,Inputs!$C$290:$C$297,"solve")</f>
        <v/>
      </c>
      <c r="C10" t="inlineStr">
        <is>
          <t>count</t>
        </is>
      </c>
      <c r="D10" s="7" t="inlineStr">
        <is>
          <t>solve_ropes  -- the app needs one</t>
        </is>
      </c>
    </row>
    <row r="11">
      <c r="A11" t="inlineStr">
        <is>
          <t>Boom 3x3 singular</t>
        </is>
      </c>
      <c r="B11" s="3">
        <f>Statics!$B$41</f>
        <v/>
      </c>
      <c r="C11" t="inlineStr">
        <is>
          <t>1/0</t>
        </is>
      </c>
      <c r="D11" s="7" t="inlineStr">
        <is>
          <t>boom_singular</t>
        </is>
      </c>
    </row>
    <row r="12">
      <c r="A12" t="inlineStr">
        <is>
          <t>Leg frame 6x6 singular</t>
        </is>
      </c>
      <c r="B12" s="3">
        <f>Statics!$B$62</f>
        <v/>
      </c>
      <c r="C12" t="inlineStr">
        <is>
          <t>1/0</t>
        </is>
      </c>
      <c r="D12" s="7" t="inlineStr">
        <is>
          <t>leg_singular</t>
        </is>
      </c>
    </row>
    <row r="13">
      <c r="A13" t="inlineStr">
        <is>
          <t>Statics solved</t>
        </is>
      </c>
      <c r="B13" s="3">
        <f>IF(AND(Statics!$B$10&gt;0,Statics!$B$11=0,Statics!$B$12=0),1,0)</f>
        <v/>
      </c>
      <c r="C13" t="inlineStr">
        <is>
          <t>1/0</t>
        </is>
      </c>
      <c r="D13" s="7" t="inlineStr">
        <is>
          <t>ok  -- a solve rope and no singular matrix</t>
        </is>
      </c>
    </row>
    <row r="15">
      <c r="A15" s="6" t="inlineStr">
        <is>
          <t>Structure node positions</t>
        </is>
      </c>
    </row>
    <row r="16">
      <c r="A16" t="inlineStr">
        <is>
          <t>Node boom_heel x</t>
        </is>
      </c>
      <c r="B16" s="3">
        <f>IFERROR(INDEX(Geometry!$K$58:$K$137,MATCH("boom_heel",Geometry!$B$58:$B$137,0)),0)</f>
        <v/>
      </c>
      <c r="C16" t="inlineStr">
        <is>
          <t>m</t>
        </is>
      </c>
      <c r="D16" s="7" t="inlineStr">
        <is>
          <t>boom_heel_x_m  -- Geometry x_m/z_m; 0 if missing</t>
        </is>
      </c>
    </row>
    <row r="17">
      <c r="A17" t="inlineStr">
        <is>
          <t>Node boom_heel z</t>
        </is>
      </c>
      <c r="B17" s="3">
        <f>IFERROR(INDEX(Geometry!$L$58:$L$137,MATCH("boom_heel",Geometry!$B$58:$B$137,0)),0)</f>
        <v/>
      </c>
      <c r="C17" t="inlineStr">
        <is>
          <t>m</t>
        </is>
      </c>
      <c r="D17" s="7" t="inlineStr">
        <is>
          <t>boom_heel_z_m  -- Geometry x_m/z_m; 0 if missing</t>
        </is>
      </c>
    </row>
    <row r="18">
      <c r="A18" t="inlineStr">
        <is>
          <t>Node rear_base x</t>
        </is>
      </c>
      <c r="B18" s="3">
        <f>IFERROR(INDEX(Geometry!$K$58:$K$137,MATCH("rear_base",Geometry!$B$58:$B$137,0)),0)</f>
        <v/>
      </c>
      <c r="C18" t="inlineStr">
        <is>
          <t>m</t>
        </is>
      </c>
      <c r="D18" s="7" t="inlineStr">
        <is>
          <t>rear_base_x_m  -- Geometry x_m/z_m; 0 if missing</t>
        </is>
      </c>
    </row>
    <row r="19">
      <c r="A19" t="inlineStr">
        <is>
          <t>Node rear_base z</t>
        </is>
      </c>
      <c r="B19" s="3">
        <f>IFERROR(INDEX(Geometry!$L$58:$L$137,MATCH("rear_base",Geometry!$B$58:$B$137,0)),0)</f>
        <v/>
      </c>
      <c r="C19" t="inlineStr">
        <is>
          <t>m</t>
        </is>
      </c>
      <c r="D19" s="7" t="inlineStr">
        <is>
          <t>rear_base_z_m  -- Geometry x_m/z_m; 0 if missing</t>
        </is>
      </c>
    </row>
    <row r="20">
      <c r="A20" t="inlineStr">
        <is>
          <t>Node rear_top x</t>
        </is>
      </c>
      <c r="B20" s="3">
        <f>IFERROR(INDEX(Geometry!$K$58:$K$137,MATCH("rear_top",Geometry!$B$58:$B$137,0)),0)</f>
        <v/>
      </c>
      <c r="C20" t="inlineStr">
        <is>
          <t>m</t>
        </is>
      </c>
      <c r="D20" s="7" t="inlineStr">
        <is>
          <t>rear_top_x_m  -- Geometry x_m/z_m; 0 if missing</t>
        </is>
      </c>
    </row>
    <row r="21">
      <c r="A21" t="inlineStr">
        <is>
          <t>Node rear_top z</t>
        </is>
      </c>
      <c r="B21" s="3">
        <f>IFERROR(INDEX(Geometry!$L$58:$L$137,MATCH("rear_top",Geometry!$B$58:$B$137,0)),0)</f>
        <v/>
      </c>
      <c r="C21" t="inlineStr">
        <is>
          <t>m</t>
        </is>
      </c>
      <c r="D21" s="7" t="inlineStr">
        <is>
          <t>rear_top_z_m  -- Geometry x_m/z_m; 0 if missing</t>
        </is>
      </c>
    </row>
    <row r="22">
      <c r="A22" t="inlineStr">
        <is>
          <t>Node front_base x</t>
        </is>
      </c>
      <c r="B22" s="3">
        <f>IFERROR(INDEX(Geometry!$K$58:$K$137,MATCH("front_base",Geometry!$B$58:$B$137,0)),0)</f>
        <v/>
      </c>
      <c r="C22" t="inlineStr">
        <is>
          <t>m</t>
        </is>
      </c>
      <c r="D22" s="7" t="inlineStr">
        <is>
          <t>front_base_x_m  -- Geometry x_m/z_m; 0 if missing</t>
        </is>
      </c>
    </row>
    <row r="23">
      <c r="A23" t="inlineStr">
        <is>
          <t>Node front_base z</t>
        </is>
      </c>
      <c r="B23" s="3">
        <f>IFERROR(INDEX(Geometry!$L$58:$L$137,MATCH("front_base",Geometry!$B$58:$B$137,0)),0)</f>
        <v/>
      </c>
      <c r="C23" t="inlineStr">
        <is>
          <t>m</t>
        </is>
      </c>
      <c r="D23" s="7" t="inlineStr">
        <is>
          <t>front_base_z_m  -- Geometry x_m/z_m; 0 if missing</t>
        </is>
      </c>
    </row>
    <row r="24">
      <c r="A24" t="inlineStr">
        <is>
          <t>Node front_top x</t>
        </is>
      </c>
      <c r="B24" s="3">
        <f>IFERROR(INDEX(Geometry!$K$58:$K$137,MATCH("front_top",Geometry!$B$58:$B$137,0)),0)</f>
        <v/>
      </c>
      <c r="C24" t="inlineStr">
        <is>
          <t>m</t>
        </is>
      </c>
      <c r="D24" s="7" t="inlineStr">
        <is>
          <t>front_top_x_m  -- Geometry x_m/z_m; 0 if missing</t>
        </is>
      </c>
    </row>
    <row r="25">
      <c r="A25" t="inlineStr">
        <is>
          <t>Node front_top z</t>
        </is>
      </c>
      <c r="B25" s="3">
        <f>IFERROR(INDEX(Geometry!$L$58:$L$137,MATCH("front_top",Geometry!$B$58:$B$137,0)),0)</f>
        <v/>
      </c>
      <c r="C25" t="inlineStr">
        <is>
          <t>m</t>
        </is>
      </c>
      <c r="D25" s="7" t="inlineStr">
        <is>
          <t>front_top_z_m  -- Geometry x_m/z_m; 0 if missing</t>
        </is>
      </c>
    </row>
    <row r="26">
      <c r="A26" t="inlineStr">
        <is>
          <t>Node platform_heel x</t>
        </is>
      </c>
      <c r="B26" s="3">
        <f>IFERROR(INDEX(Geometry!$K$58:$K$137,MATCH("platform_heel",Geometry!$B$58:$B$137,0)),0)</f>
        <v/>
      </c>
      <c r="C26" t="inlineStr">
        <is>
          <t>m</t>
        </is>
      </c>
      <c r="D26" s="7" t="inlineStr">
        <is>
          <t>platform_heel_x_m  -- Geometry x_m/z_m; 0 if missing</t>
        </is>
      </c>
    </row>
    <row r="27">
      <c r="A27" t="inlineStr">
        <is>
          <t>Node platform_heel z</t>
        </is>
      </c>
      <c r="B27" s="3">
        <f>IFERROR(INDEX(Geometry!$L$58:$L$137,MATCH("platform_heel",Geometry!$B$58:$B$137,0)),0)</f>
        <v/>
      </c>
      <c r="C27" t="inlineStr">
        <is>
          <t>m</t>
        </is>
      </c>
      <c r="D27" s="7" t="inlineStr">
        <is>
          <t>platform_heel_z_m  -- Geometry x_m/z_m; 0 if missing</t>
        </is>
      </c>
    </row>
    <row r="28">
      <c r="A28" t="inlineStr">
        <is>
          <t>Node platform_rear x</t>
        </is>
      </c>
      <c r="B28" s="3">
        <f>IFERROR(INDEX(Geometry!$K$58:$K$137,MATCH("platform_rear",Geometry!$B$58:$B$137,0)),0)</f>
        <v/>
      </c>
      <c r="C28" t="inlineStr">
        <is>
          <t>m</t>
        </is>
      </c>
      <c r="D28" s="7" t="inlineStr">
        <is>
          <t>platform_rear_x_m  -- Geometry x_m/z_m; 0 if missing</t>
        </is>
      </c>
    </row>
    <row r="29">
      <c r="A29" t="inlineStr">
        <is>
          <t>Node platform_rear z</t>
        </is>
      </c>
      <c r="B29" s="3">
        <f>IFERROR(INDEX(Geometry!$L$58:$L$137,MATCH("platform_rear",Geometry!$B$58:$B$137,0)),0)</f>
        <v/>
      </c>
      <c r="C29" t="inlineStr">
        <is>
          <t>m</t>
        </is>
      </c>
      <c r="D29" s="7" t="inlineStr">
        <is>
          <t>platform_rear_z_m  -- Geometry x_m/z_m; 0 if missing</t>
        </is>
      </c>
    </row>
    <row r="30">
      <c r="A30" t="inlineStr">
        <is>
          <t>Node platform_front x</t>
        </is>
      </c>
      <c r="B30" s="3">
        <f>IFERROR(INDEX(Geometry!$K$58:$K$137,MATCH("platform_front",Geometry!$B$58:$B$137,0)),0)</f>
        <v/>
      </c>
      <c r="C30" t="inlineStr">
        <is>
          <t>m</t>
        </is>
      </c>
      <c r="D30" s="7" t="inlineStr">
        <is>
          <t>platform_front_x_m  -- Geometry x_m/z_m; 0 if missing</t>
        </is>
      </c>
    </row>
    <row r="31">
      <c r="A31" t="inlineStr">
        <is>
          <t>Node platform_front z</t>
        </is>
      </c>
      <c r="B31" s="3">
        <f>IFERROR(INDEX(Geometry!$L$58:$L$137,MATCH("platform_front",Geometry!$B$58:$B$137,0)),0)</f>
        <v/>
      </c>
      <c r="C31" t="inlineStr">
        <is>
          <t>m</t>
        </is>
      </c>
      <c r="D31" s="7" t="inlineStr">
        <is>
          <t>platform_front_z_m  -- Geometry x_m/z_m; 0 if missing</t>
        </is>
      </c>
    </row>
    <row r="33">
      <c r="A33" s="6" t="inlineStr">
        <is>
          <t>Boom: [Hx, Hz, T_bh]  --  A x = b</t>
        </is>
      </c>
    </row>
    <row r="34">
      <c r="A34" s="8" t="inlineStr">
        <is>
          <t>Equation</t>
        </is>
      </c>
      <c r="B34" s="8" t="inlineStr">
        <is>
          <t>A: coefficient of h_x</t>
        </is>
      </c>
      <c r="C34" s="8" t="inlineStr">
        <is>
          <t>A: coefficient of h_z</t>
        </is>
      </c>
      <c r="D34" s="8" t="inlineStr">
        <is>
          <t>A: coefficient of t_bh</t>
        </is>
      </c>
      <c r="E34" s="8" t="inlineStr">
        <is>
          <t>b (right-hand side) [kN or kNm]</t>
        </is>
      </c>
      <c r="F34" s="8" t="inlineStr">
        <is>
          <t>Unknown x</t>
        </is>
      </c>
      <c r="G34" s="8" t="inlineStr">
        <is>
          <t>MMULT(MINVERSE(A), b)</t>
        </is>
      </c>
      <c r="H34" s="8" t="inlineStr">
        <is>
          <t>x used (0 if singular)</t>
        </is>
      </c>
      <c r="I34" s="8" t="inlineStr">
        <is>
          <t>Row norm |A_i|</t>
        </is>
      </c>
    </row>
    <row r="35">
      <c r="A35" t="inlineStr">
        <is>
          <t>Boom: sum Fx = 0</t>
        </is>
      </c>
      <c r="B35" s="4" t="n">
        <v>1</v>
      </c>
      <c r="C35" s="4" t="n">
        <v>0</v>
      </c>
      <c r="D35" s="3">
        <f>Loads!$Z$305</f>
        <v/>
      </c>
      <c r="E35" s="3">
        <f>-Loads!$W$305</f>
        <v/>
      </c>
      <c r="F35" t="inlineStr">
        <is>
          <t>h_x: Hx: heel on boom [kN]</t>
        </is>
      </c>
      <c r="G35" s="3">
        <f t="array" ref="G35:G37">MMULT(MINVERSE($B$35:$D$37),$E$35:$E$37)</f>
        <v/>
      </c>
      <c r="H35" s="3">
        <f>IF(Statics!$B$41=1,0,Statics!$G$35)</f>
        <v/>
      </c>
      <c r="I35" s="3">
        <f>SQRT(SUMSQ(B35:D35))</f>
        <v/>
      </c>
    </row>
    <row r="36">
      <c r="A36" t="inlineStr">
        <is>
          <t>Boom: sum Fz = 0</t>
        </is>
      </c>
      <c r="B36" s="4" t="n">
        <v>0</v>
      </c>
      <c r="C36" s="4" t="n">
        <v>1</v>
      </c>
      <c r="D36" s="3">
        <f>Loads!$AA$305</f>
        <v/>
      </c>
      <c r="E36" s="3">
        <f>-Loads!$X$305</f>
        <v/>
      </c>
      <c r="F36" t="inlineStr">
        <is>
          <t>h_z: Hz: heel on boom [kN]</t>
        </is>
      </c>
      <c r="G36" s="3" t="n"/>
      <c r="H36" s="3">
        <f>IF(Statics!$B$41=1,0,Statics!$G$36)</f>
        <v/>
      </c>
      <c r="I36" s="3">
        <f>SQRT(SUMSQ(B36:D36))</f>
        <v/>
      </c>
    </row>
    <row r="37">
      <c r="A37" t="inlineStr">
        <is>
          <t>Boom: sum M about the origin = 0</t>
        </is>
      </c>
      <c r="B37" s="3">
        <f>-Statics!$B$17</f>
        <v/>
      </c>
      <c r="C37" s="3">
        <f>Statics!$B$16</f>
        <v/>
      </c>
      <c r="D37" s="3">
        <f>Loads!$AB$305</f>
        <v/>
      </c>
      <c r="E37" s="3">
        <f>-Loads!$Y$305</f>
        <v/>
      </c>
      <c r="F37" t="inlineStr">
        <is>
          <t>t_bh: T_bh: solve-rope tension [kN]</t>
        </is>
      </c>
      <c r="G37" s="3" t="n"/>
      <c r="H37" s="3">
        <f>IF(Statics!$B$41=1,0,Statics!$G$37)</f>
        <v/>
      </c>
      <c r="I37" s="3">
        <f>SQRT(SUMSQ(B37:D37))</f>
        <v/>
      </c>
    </row>
    <row r="38">
      <c r="A38" t="inlineStr">
        <is>
          <t>det A (MDETERM)</t>
        </is>
      </c>
      <c r="B38" s="3">
        <f>MDETERM($B$35:$D$37)</f>
        <v/>
      </c>
      <c r="D38" s="7" t="inlineStr">
        <is>
          <t>det</t>
        </is>
      </c>
    </row>
    <row r="39">
      <c r="A39" t="inlineStr">
        <is>
          <t>Product of the row norms of A</t>
        </is>
      </c>
      <c r="B39" s="3">
        <f>PRODUCT($I$35:$I$37)</f>
        <v/>
      </c>
      <c r="D39" s="7" t="inlineStr">
        <is>
          <t>norm_product</t>
        </is>
      </c>
    </row>
    <row r="40">
      <c r="A40" t="inlineStr">
        <is>
          <t>|det A| / product of row norms</t>
        </is>
      </c>
      <c r="B40" s="3">
        <f>IF(Statics!$B$39&gt;0,ABS(Statics!$B$38)/Statics!$B$39,0)</f>
        <v/>
      </c>
      <c r="D40" s="7" t="inlineStr">
        <is>
          <t>rel_det  -- 1 = orthogonal rows, 0 = singular</t>
        </is>
      </c>
    </row>
    <row r="41">
      <c r="A41" t="inlineStr">
        <is>
          <t>Singular</t>
        </is>
      </c>
      <c r="B41" s="3">
        <f>IF(OR(Statics!$B$40&lt;=1E-12,ISERROR(SUM($G$35:$G$37))),1,0)</f>
        <v/>
      </c>
      <c r="C41" t="inlineStr">
        <is>
          <t>1/0</t>
        </is>
      </c>
      <c r="D41" s="7" t="inlineStr">
        <is>
          <t>singular  -- rel_det &lt;= 1e-12 or MINVERSE fails</t>
        </is>
      </c>
    </row>
    <row r="43">
      <c r="A43" s="6" t="inlineStr">
        <is>
          <t>Leg loads with the solved T_bh</t>
        </is>
      </c>
    </row>
    <row r="44">
      <c r="A44" t="inlineStr">
        <is>
          <t>Rear leg load FX = ld + T_bh bh</t>
        </is>
      </c>
      <c r="B44" s="3">
        <f>Loads!$W$306+Statics!$H$37*Loads!$Z$306</f>
        <v/>
      </c>
      <c r="C44" t="inlineStr">
        <is>
          <t>kN</t>
        </is>
      </c>
      <c r="D44" s="7" t="inlineStr">
        <is>
          <t>rear_fx</t>
        </is>
      </c>
    </row>
    <row r="45">
      <c r="A45" t="inlineStr">
        <is>
          <t>Rear leg load FZ = ld + T_bh bh</t>
        </is>
      </c>
      <c r="B45" s="3">
        <f>Loads!$X$306+Statics!$H$37*Loads!$AA$306</f>
        <v/>
      </c>
      <c r="C45" t="inlineStr">
        <is>
          <t>kN</t>
        </is>
      </c>
      <c r="D45" s="7" t="inlineStr">
        <is>
          <t>rear_fz</t>
        </is>
      </c>
    </row>
    <row r="46">
      <c r="A46" t="inlineStr">
        <is>
          <t>Rear leg load M = ld + T_bh bh</t>
        </is>
      </c>
      <c r="B46" s="3">
        <f>Loads!$Y$306+Statics!$H$37*Loads!$AB$306</f>
        <v/>
      </c>
      <c r="C46" t="inlineStr">
        <is>
          <t>kNm</t>
        </is>
      </c>
      <c r="D46" s="7" t="inlineStr">
        <is>
          <t>rear_m</t>
        </is>
      </c>
    </row>
    <row r="47">
      <c r="A47" t="inlineStr">
        <is>
          <t>Front leg load FX = ld + T_bh bh</t>
        </is>
      </c>
      <c r="B47" s="3">
        <f>Loads!$W$307+Statics!$H$37*Loads!$Z$307</f>
        <v/>
      </c>
      <c r="C47" t="inlineStr">
        <is>
          <t>kN</t>
        </is>
      </c>
      <c r="D47" s="7" t="inlineStr">
        <is>
          <t>front_fx</t>
        </is>
      </c>
    </row>
    <row r="48">
      <c r="A48" t="inlineStr">
        <is>
          <t>Front leg load FZ = ld + T_bh bh</t>
        </is>
      </c>
      <c r="B48" s="3">
        <f>Loads!$X$307+Statics!$H$37*Loads!$AA$307</f>
        <v/>
      </c>
      <c r="C48" t="inlineStr">
        <is>
          <t>kN</t>
        </is>
      </c>
      <c r="D48" s="7" t="inlineStr">
        <is>
          <t>front_fz</t>
        </is>
      </c>
    </row>
    <row r="49">
      <c r="A49" t="inlineStr">
        <is>
          <t>Front leg load M = ld + T_bh bh</t>
        </is>
      </c>
      <c r="B49" s="3">
        <f>Loads!$Y$307+Statics!$H$37*Loads!$AB$307</f>
        <v/>
      </c>
      <c r="C49" t="inlineStr">
        <is>
          <t>kNm</t>
        </is>
      </c>
      <c r="D49" s="7" t="inlineStr">
        <is>
          <t>front_m</t>
        </is>
      </c>
    </row>
    <row r="51">
      <c r="A51" s="6" t="inlineStr">
        <is>
          <t>Leg frame: [R_rb_x, R_rb_z, R_fb_x, R_fb_z, R_top_x, R_top_z]  --  A x = b</t>
        </is>
      </c>
    </row>
    <row r="52">
      <c r="A52" s="8" t="inlineStr">
        <is>
          <t>Equation</t>
        </is>
      </c>
      <c r="B52" s="8" t="inlineStr">
        <is>
          <t>A: coefficient of r_rb_x</t>
        </is>
      </c>
      <c r="C52" s="8" t="inlineStr">
        <is>
          <t>A: coefficient of r_rb_z</t>
        </is>
      </c>
      <c r="D52" s="8" t="inlineStr">
        <is>
          <t>A: coefficient of r_fb_x</t>
        </is>
      </c>
      <c r="E52" s="8" t="inlineStr">
        <is>
          <t>A: coefficient of r_fb_z</t>
        </is>
      </c>
      <c r="F52" s="8" t="inlineStr">
        <is>
          <t>A: coefficient of r_top_x</t>
        </is>
      </c>
      <c r="G52" s="8" t="inlineStr">
        <is>
          <t>A: coefficient of r_top_z</t>
        </is>
      </c>
      <c r="H52" s="8" t="inlineStr">
        <is>
          <t>b (right-hand side) [kN or kNm]</t>
        </is>
      </c>
      <c r="I52" s="8" t="inlineStr">
        <is>
          <t>Unknown x</t>
        </is>
      </c>
      <c r="J52" s="8" t="inlineStr">
        <is>
          <t>MMULT(MINVERSE(A), b)</t>
        </is>
      </c>
      <c r="K52" s="8" t="inlineStr">
        <is>
          <t>x used (0 if singular)</t>
        </is>
      </c>
      <c r="L52" s="8" t="inlineStr">
        <is>
          <t>Row norm |A_i|</t>
        </is>
      </c>
    </row>
    <row r="53">
      <c r="A53" t="inlineStr">
        <is>
          <t>Rear leg: sum Fx = 0</t>
        </is>
      </c>
      <c r="B53" s="4" t="n">
        <v>1</v>
      </c>
      <c r="C53" s="4" t="n">
        <v>0</v>
      </c>
      <c r="D53" s="4" t="n">
        <v>0</v>
      </c>
      <c r="E53" s="4" t="n">
        <v>0</v>
      </c>
      <c r="F53" s="4" t="n">
        <v>-1</v>
      </c>
      <c r="G53" s="4" t="n">
        <v>0</v>
      </c>
      <c r="H53" s="3">
        <f>-Statics!$B$44</f>
        <v/>
      </c>
      <c r="I53" t="inlineStr">
        <is>
          <t>r_rb_x: Rear base on rear leg x [kN]</t>
        </is>
      </c>
      <c r="J53" s="3">
        <f t="array" ref="J53:J58">MMULT(MINVERSE($B$53:$G$58),$H$53:$H$58)</f>
        <v/>
      </c>
      <c r="K53" s="3">
        <f>IF(Statics!$B$62=1,0,Statics!$J$53)</f>
        <v/>
      </c>
      <c r="L53" s="3">
        <f>SQRT(SUMSQ(B53:G53))</f>
        <v/>
      </c>
    </row>
    <row r="54">
      <c r="A54" t="inlineStr">
        <is>
          <t>Rear leg: sum Fz = 0</t>
        </is>
      </c>
      <c r="B54" s="4" t="n">
        <v>0</v>
      </c>
      <c r="C54" s="4" t="n">
        <v>1</v>
      </c>
      <c r="D54" s="4" t="n">
        <v>0</v>
      </c>
      <c r="E54" s="4" t="n">
        <v>0</v>
      </c>
      <c r="F54" s="4" t="n">
        <v>0</v>
      </c>
      <c r="G54" s="4" t="n">
        <v>-1</v>
      </c>
      <c r="H54" s="3">
        <f>-Statics!$B$45</f>
        <v/>
      </c>
      <c r="I54" t="inlineStr">
        <is>
          <t>r_rb_z: Rear base on rear leg z [kN]</t>
        </is>
      </c>
      <c r="J54" s="3" t="n"/>
      <c r="K54" s="3">
        <f>IF(Statics!$B$62=1,0,Statics!$J$54)</f>
        <v/>
      </c>
      <c r="L54" s="3">
        <f>SQRT(SUMSQ(B54:G54))</f>
        <v/>
      </c>
    </row>
    <row r="55">
      <c r="A55" t="inlineStr">
        <is>
          <t>Rear leg: sum M about the origin = 0</t>
        </is>
      </c>
      <c r="B55" s="3">
        <f>-Statics!$B$19</f>
        <v/>
      </c>
      <c r="C55" s="3">
        <f>Statics!$B$18</f>
        <v/>
      </c>
      <c r="D55" s="4" t="n">
        <v>0</v>
      </c>
      <c r="E55" s="4" t="n">
        <v>0</v>
      </c>
      <c r="F55" s="3">
        <f>Statics!$B$21</f>
        <v/>
      </c>
      <c r="G55" s="3">
        <f>-Statics!$B$20</f>
        <v/>
      </c>
      <c r="H55" s="3">
        <f>-Statics!$B$46</f>
        <v/>
      </c>
      <c r="I55" t="inlineStr">
        <is>
          <t>r_fb_x: Front base on front leg x [kN]</t>
        </is>
      </c>
      <c r="J55" s="3" t="n"/>
      <c r="K55" s="3">
        <f>IF(Statics!$B$62=1,0,Statics!$J$55)</f>
        <v/>
      </c>
      <c r="L55" s="3">
        <f>SQRT(SUMSQ(B55:G55))</f>
        <v/>
      </c>
    </row>
    <row r="56">
      <c r="A56" t="inlineStr">
        <is>
          <t>Front leg: sum Fx = 0</t>
        </is>
      </c>
      <c r="B56" s="4" t="n">
        <v>0</v>
      </c>
      <c r="C56" s="4" t="n">
        <v>0</v>
      </c>
      <c r="D56" s="4" t="n">
        <v>1</v>
      </c>
      <c r="E56" s="4" t="n">
        <v>0</v>
      </c>
      <c r="F56" s="4" t="n">
        <v>1</v>
      </c>
      <c r="G56" s="4" t="n">
        <v>0</v>
      </c>
      <c r="H56" s="3">
        <f>-Statics!$B$47</f>
        <v/>
      </c>
      <c r="I56" t="inlineStr">
        <is>
          <t>r_fb_z: Front base on front leg z [kN]</t>
        </is>
      </c>
      <c r="J56" s="3" t="n"/>
      <c r="K56" s="3">
        <f>IF(Statics!$B$62=1,0,Statics!$J$56)</f>
        <v/>
      </c>
      <c r="L56" s="3">
        <f>SQRT(SUMSQ(B56:G56))</f>
        <v/>
      </c>
    </row>
    <row r="57">
      <c r="A57" t="inlineStr">
        <is>
          <t>Front leg: sum Fz = 0</t>
        </is>
      </c>
      <c r="B57" s="4" t="n">
        <v>0</v>
      </c>
      <c r="C57" s="4" t="n">
        <v>0</v>
      </c>
      <c r="D57" s="4" t="n">
        <v>0</v>
      </c>
      <c r="E57" s="4" t="n">
        <v>1</v>
      </c>
      <c r="F57" s="4" t="n">
        <v>0</v>
      </c>
      <c r="G57" s="4" t="n">
        <v>1</v>
      </c>
      <c r="H57" s="3">
        <f>-Statics!$B$48</f>
        <v/>
      </c>
      <c r="I57" t="inlineStr">
        <is>
          <t>r_top_x: Top joint x (on front leg; rear leg gets -) [kN]</t>
        </is>
      </c>
      <c r="J57" s="3" t="n"/>
      <c r="K57" s="3">
        <f>IF(Statics!$B$62=1,0,Statics!$J$57)</f>
        <v/>
      </c>
      <c r="L57" s="3">
        <f>SQRT(SUMSQ(B57:G57))</f>
        <v/>
      </c>
    </row>
    <row r="58">
      <c r="A58" t="inlineStr">
        <is>
          <t>Front leg: sum M about the origin = 0</t>
        </is>
      </c>
      <c r="B58" s="4" t="n">
        <v>0</v>
      </c>
      <c r="C58" s="4" t="n">
        <v>0</v>
      </c>
      <c r="D58" s="3">
        <f>-Statics!$B$23</f>
        <v/>
      </c>
      <c r="E58" s="3">
        <f>Statics!$B$22</f>
        <v/>
      </c>
      <c r="F58" s="3">
        <f>-Statics!$B$25</f>
        <v/>
      </c>
      <c r="G58" s="3">
        <f>Statics!$B$24</f>
        <v/>
      </c>
      <c r="H58" s="3">
        <f>-Statics!$B$49</f>
        <v/>
      </c>
      <c r="I58" t="inlineStr">
        <is>
          <t>r_top_z: Top joint z (on front leg; rear leg gets -) [kN]</t>
        </is>
      </c>
      <c r="J58" s="3" t="n"/>
      <c r="K58" s="3">
        <f>IF(Statics!$B$62=1,0,Statics!$J$58)</f>
        <v/>
      </c>
      <c r="L58" s="3">
        <f>SQRT(SUMSQ(B58:G58))</f>
        <v/>
      </c>
    </row>
    <row r="59">
      <c r="A59" t="inlineStr">
        <is>
          <t>det A (MDETERM)</t>
        </is>
      </c>
      <c r="B59" s="3">
        <f>MDETERM($B$53:$G$58)</f>
        <v/>
      </c>
      <c r="D59" s="7" t="inlineStr">
        <is>
          <t>det</t>
        </is>
      </c>
    </row>
    <row r="60">
      <c r="A60" t="inlineStr">
        <is>
          <t>Product of the row norms of A</t>
        </is>
      </c>
      <c r="B60" s="3">
        <f>PRODUCT($L$53:$L$58)</f>
        <v/>
      </c>
      <c r="D60" s="7" t="inlineStr">
        <is>
          <t>norm_product</t>
        </is>
      </c>
    </row>
    <row r="61">
      <c r="A61" t="inlineStr">
        <is>
          <t>|det A| / product of row norms</t>
        </is>
      </c>
      <c r="B61" s="3">
        <f>IF(Statics!$B$60&gt;0,ABS(Statics!$B$59)/Statics!$B$60,0)</f>
        <v/>
      </c>
      <c r="D61" s="7" t="inlineStr">
        <is>
          <t>rel_det  -- 1 = orthogonal rows, 0 = singular</t>
        </is>
      </c>
    </row>
    <row r="62">
      <c r="A62" t="inlineStr">
        <is>
          <t>Singular</t>
        </is>
      </c>
      <c r="B62" s="3">
        <f>IF(OR(Statics!$B$61&lt;=1E-12,ISERROR(SUM($J$53:$J$58))),1,0)</f>
        <v/>
      </c>
      <c r="C62" t="inlineStr">
        <is>
          <t>1/0</t>
        </is>
      </c>
      <c r="D62" s="7" t="inlineStr">
        <is>
          <t>singular  -- rel_det &lt;= 1e-12 or MINVERSE fails</t>
        </is>
      </c>
    </row>
    <row r="64">
      <c r="A64" s="6" t="inlineStr">
        <is>
          <t>Platform resultant at the ground (platform_base)</t>
        </is>
      </c>
    </row>
    <row r="65">
      <c r="A65" t="inlineStr">
        <is>
          <t>Platform load Fx = ld + T_bh bh</t>
        </is>
      </c>
      <c r="B65" s="3">
        <f>Loads!$W$308+Statics!$H$37*Loads!$Z$308</f>
        <v/>
      </c>
      <c r="C65" t="inlineStr">
        <is>
          <t>kN</t>
        </is>
      </c>
      <c r="D65" s="7" t="inlineStr">
        <is>
          <t>load_fx</t>
        </is>
      </c>
    </row>
    <row r="66">
      <c r="A66" t="inlineStr">
        <is>
          <t>Platform load Fz = ld + T_bh bh</t>
        </is>
      </c>
      <c r="B66" s="3">
        <f>Loads!$X$308+Statics!$H$37*Loads!$AA$308</f>
        <v/>
      </c>
      <c r="C66" t="inlineStr">
        <is>
          <t>kN</t>
        </is>
      </c>
      <c r="D66" s="7" t="inlineStr">
        <is>
          <t>load_fz</t>
        </is>
      </c>
    </row>
    <row r="67">
      <c r="A67" t="inlineStr">
        <is>
          <t>Platform load M = ld + T_bh bh</t>
        </is>
      </c>
      <c r="B67" s="3">
        <f>Loads!$Y$308+Statics!$H$37*Loads!$AB$308</f>
        <v/>
      </c>
      <c r="C67" t="inlineStr">
        <is>
          <t>kNm</t>
        </is>
      </c>
      <c r="D67" s="7" t="inlineStr">
        <is>
          <t>load_m</t>
        </is>
      </c>
    </row>
    <row r="68">
      <c r="A68" t="inlineStr">
        <is>
          <t>Platform Fx incl. -Hx, -R_rb_x, -R_fb_x</t>
        </is>
      </c>
      <c r="B68" s="3">
        <f>Statics!$B$65-Statics!$H$35-Statics!$K$53-Statics!$K$55</f>
        <v/>
      </c>
      <c r="C68" t="inlineStr">
        <is>
          <t>kN</t>
        </is>
      </c>
      <c r="D68" s="7" t="inlineStr">
        <is>
          <t>plat_fx</t>
        </is>
      </c>
    </row>
    <row r="69">
      <c r="A69" t="inlineStr">
        <is>
          <t>Platform Fz incl. -Hz, -R_rb_z, -R_fb_z</t>
        </is>
      </c>
      <c r="B69" s="3">
        <f>Statics!$B$66-Statics!$H$36-Statics!$K$54-Statics!$K$56</f>
        <v/>
      </c>
      <c r="C69" t="inlineStr">
        <is>
          <t>kN</t>
        </is>
      </c>
      <c r="D69" s="7" t="inlineStr">
        <is>
          <t>plat_fz</t>
        </is>
      </c>
    </row>
    <row r="70">
      <c r="A70" t="inlineStr">
        <is>
          <t>Platform M incl. the reactions at platform_heel/_rear/_front</t>
        </is>
      </c>
      <c r="B70" s="3">
        <f>Statics!$B$67+Statics!$B$26*(-Statics!$H$36)-Statics!$B$27*(-Statics!$H$35)+Statics!$B$28*(-Statics!$K$54)-Statics!$B$29*(-Statics!$K$53)+Statics!$B$30*(-Statics!$K$56)-Statics!$B$31*(-Statics!$K$55)</f>
        <v/>
      </c>
      <c r="C70" t="inlineStr">
        <is>
          <t>kNm</t>
        </is>
      </c>
      <c r="D70" s="7" t="inlineStr">
        <is>
          <t>plat_m  -- x (-Fz) - z (-Fx) per node</t>
        </is>
      </c>
    </row>
    <row r="71">
      <c r="A71" t="inlineStr">
        <is>
          <t>Ground reaction Fx = -platform Fx</t>
        </is>
      </c>
      <c r="B71" s="3">
        <f>-Statics!$B$68</f>
        <v/>
      </c>
      <c r="C71" t="inlineStr">
        <is>
          <t>kN</t>
        </is>
      </c>
      <c r="D71" s="7" t="inlineStr">
        <is>
          <t>r_g_x  -- reaction platform_base Fx</t>
        </is>
      </c>
    </row>
    <row r="72">
      <c r="A72" t="inlineStr">
        <is>
          <t>Ground reaction Fz = -platform Fz</t>
        </is>
      </c>
      <c r="B72" s="3">
        <f>-Statics!$B$69</f>
        <v/>
      </c>
      <c r="C72" t="inlineStr">
        <is>
          <t>kN</t>
        </is>
      </c>
      <c r="D72" s="7" t="inlineStr">
        <is>
          <t>r_g_z  -- reaction platform_base Fz</t>
        </is>
      </c>
    </row>
    <row r="73">
      <c r="A73" t="inlineStr">
        <is>
          <t>Ground moment My = -platform M</t>
        </is>
      </c>
      <c r="B73" s="3">
        <f>-Statics!$B$70</f>
        <v/>
      </c>
      <c r="C73" t="inlineStr">
        <is>
          <t>kNm</t>
        </is>
      </c>
      <c r="D73" s="7" t="inlineStr">
        <is>
          <t>m_g  -- reaction platform_base My</t>
        </is>
      </c>
    </row>
    <row r="75">
      <c r="A75" s="6" t="inlineStr">
        <is>
          <t>Leg axes (for leg_axial / leg_normal)</t>
        </is>
      </c>
    </row>
    <row r="76">
      <c r="A76" t="inlineStr">
        <is>
          <t>Rear leg length rear_base -&gt; rear_top</t>
        </is>
      </c>
      <c r="B76" s="3">
        <f>SQRT((Statics!$B$20-Statics!$B$18)^2+(Statics!$B$21-Statics!$B$19)^2)</f>
        <v/>
      </c>
      <c r="C76" t="inlineStr">
        <is>
          <t>m</t>
        </is>
      </c>
      <c r="D76" s="7" t="inlineStr">
        <is>
          <t>rear_len_m</t>
        </is>
      </c>
    </row>
    <row r="77">
      <c r="A77" t="inlineStr">
        <is>
          <t>Rear leg axis ux</t>
        </is>
      </c>
      <c r="B77" s="3">
        <f>IF(Statics!$B$79=1,(Statics!$B$20-Statics!$B$18)/Statics!$B$76,0)</f>
        <v/>
      </c>
      <c r="D77" s="7" t="inlineStr">
        <is>
          <t>rear_ux  -- 0 if length &lt;= 1e-12</t>
        </is>
      </c>
    </row>
    <row r="78">
      <c r="A78" t="inlineStr">
        <is>
          <t>Rear leg axis uz</t>
        </is>
      </c>
      <c r="B78" s="3">
        <f>IF(Statics!$B$79=1,(Statics!$B$21-Statics!$B$19)/Statics!$B$76,0)</f>
        <v/>
      </c>
      <c r="D78" s="7" t="inlineStr">
        <is>
          <t>rear_uz  -- 0 if length &lt;= 1e-12</t>
        </is>
      </c>
    </row>
    <row r="79">
      <c r="A79" t="inlineStr">
        <is>
          <t>Rear leg axis defined</t>
        </is>
      </c>
      <c r="B79" s="3">
        <f>IF(Statics!$B$76&gt;1E-12,1,0)</f>
        <v/>
      </c>
      <c r="C79" t="inlineStr">
        <is>
          <t>1/0</t>
        </is>
      </c>
      <c r="D79" s="7" t="inlineStr">
        <is>
          <t>rear_axis_ok</t>
        </is>
      </c>
    </row>
    <row r="80">
      <c r="A80" t="inlineStr">
        <is>
          <t>Front leg length front_base -&gt; front_top</t>
        </is>
      </c>
      <c r="B80" s="3">
        <f>SQRT((Statics!$B$24-Statics!$B$22)^2+(Statics!$B$25-Statics!$B$23)^2)</f>
        <v/>
      </c>
      <c r="C80" t="inlineStr">
        <is>
          <t>m</t>
        </is>
      </c>
      <c r="D80" s="7" t="inlineStr">
        <is>
          <t>front_len_m</t>
        </is>
      </c>
    </row>
    <row r="81">
      <c r="A81" t="inlineStr">
        <is>
          <t>Front leg axis ux</t>
        </is>
      </c>
      <c r="B81" s="3">
        <f>IF(Statics!$B$83=1,(Statics!$B$24-Statics!$B$22)/Statics!$B$80,0)</f>
        <v/>
      </c>
      <c r="D81" s="7" t="inlineStr">
        <is>
          <t>front_ux  -- 0 if length &lt;= 1e-12</t>
        </is>
      </c>
    </row>
    <row r="82">
      <c r="A82" t="inlineStr">
        <is>
          <t>Front leg axis uz</t>
        </is>
      </c>
      <c r="B82" s="3">
        <f>IF(Statics!$B$83=1,(Statics!$B$25-Statics!$B$23)/Statics!$B$80,0)</f>
        <v/>
      </c>
      <c r="D82" s="7" t="inlineStr">
        <is>
          <t>front_uz  -- 0 if length &lt;= 1e-12</t>
        </is>
      </c>
    </row>
    <row r="83">
      <c r="A83" t="inlineStr">
        <is>
          <t>Front leg axis defined</t>
        </is>
      </c>
      <c r="B83" s="3">
        <f>IF(Statics!$B$80&gt;1E-12,1,0)</f>
        <v/>
      </c>
      <c r="C83" t="inlineStr">
        <is>
          <t>1/0</t>
        </is>
      </c>
      <c r="D83" s="7" t="inlineStr">
        <is>
          <t>front_axis_ok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OutOfPlane -- Y loads, left/right split, platform Fy and Mx</t>
        </is>
      </c>
    </row>
    <row r="3">
      <c r="A3" s="9" t="inlineStr">
        <is>
          <t>The app's out-of-plane (Y) pass (calculation/engine.py _out_of_plane_variants, _out_of_plane_geometry, _augment_point_with_out_of_plane_loads), evaluated once with the actual hook load. It does not change the in-plane solve; it adds the left/right support split and the platform base Fy and Mx.</t>
        </is>
      </c>
    </row>
    <row r="4">
      <c r="A4" s="9" t="inlineStr">
        <is>
          <t>Y loads: every mass point and every lumped mass (rope self-weight, idle hook blocks; y = 0) carries Fy = -m (ay' - roll' (z - z_ref)) (crane-frame ay' = Geometry solver_ay, roll' = roll_accel_crane); Y wind Fy = sign q Cd A_y scale (scale = |sin(boom angle)| for boom-local areas only); the sidelead force sin(sidelead) x hook load acts in +y at the scene hoist's support node (its hook node if the support is missing), at its kinematic position (before the tackle moves the hook).</t>
        </is>
      </c>
    </row>
    <row r="5">
      <c r="A5" s="9" t="inlineStr">
        <is>
          <t>Moments of the applied loads about each support group origin (heel = boom_heel, front_leg = front_base, rear_leg = rear_base, platform_base = platform_heel): Mx = y Fz - (z - oz) Fy, Mz = (x - ox) Fy - y Fx. Mass Fx/Fz are the Loads mass loads (weight + inertia); wind and side forces have y = 0.</t>
        </is>
      </c>
    </row>
    <row r="6">
      <c r="A6" s="9" t="inlineStr">
        <is>
          <t>Split (as the app, possibly an app sign bug): left = 0.5 total + M / boom width, right = 0.5 total - M / boom width, Fx using Mz and Fz using Mx; total = the in-plane reaction (Statics). So heel_left behaves as the -Y side.</t>
        </is>
      </c>
    </row>
    <row r="7">
      <c r="A7" s="9" t="inlineStr">
        <is>
          <t>Platform base Fy = the sum of all applied Fy, Mx = Mx of the applied loads about platform_heel: the sign of the loads, not of a reaction (as the app). The front/rear leg splits are shown but the Scene does not report them.</t>
        </is>
      </c>
    </row>
    <row r="8">
      <c r="A8" s="9" t="inlineStr">
        <is>
          <t>Boom width must be &gt; 0: the app rejects 0 and its split divides by it; Results then shows a message (check zero_boom_width).</t>
        </is>
      </c>
    </row>
    <row r="11">
      <c r="A11" s="6" t="inlineStr">
        <is>
          <t>Scene values used by the out-of-plane pass</t>
        </is>
      </c>
    </row>
    <row r="12">
      <c r="A12" t="inlineStr">
        <is>
          <t>Vessel motion reference z (roll lever origin)</t>
        </is>
      </c>
      <c r="B12" s="3">
        <f>Loads!$B$14</f>
        <v/>
      </c>
      <c r="C12" t="inlineStr">
        <is>
          <t>m</t>
        </is>
      </c>
      <c r="D12" s="7" t="inlineStr">
        <is>
          <t>ref_z_m  -- Loads</t>
        </is>
      </c>
    </row>
    <row r="13">
      <c r="A13" t="inlineStr">
        <is>
          <t>Crane-frame Y acceleration ay' (= -ky)</t>
        </is>
      </c>
      <c r="B13" s="3">
        <f>Geometry!$B$50</f>
        <v/>
      </c>
      <c r="C13" t="inlineStr">
        <is>
          <t>m/s^2</t>
        </is>
      </c>
      <c r="D13" s="7" t="inlineStr">
        <is>
          <t>ay  -- Geometry solver_ay</t>
        </is>
      </c>
    </row>
    <row r="14">
      <c r="A14" t="inlineStr">
        <is>
          <t>Roll angular acceleration, crane frame</t>
        </is>
      </c>
      <c r="B14" s="3">
        <f>Geometry!$B$53</f>
        <v/>
      </c>
      <c r="C14" t="inlineStr">
        <is>
          <t>rad/s^2</t>
        </is>
      </c>
      <c r="D14" s="7" t="inlineStr">
        <is>
          <t>roll  -- Geometry</t>
        </is>
      </c>
    </row>
    <row r="15">
      <c r="A15" t="inlineStr">
        <is>
          <t>Y wind sign</t>
        </is>
      </c>
      <c r="B15" s="3">
        <f>IF(Inputs!$B$32=0,0,IF(Inputs!$B$33="+Y",1,IF(Inputs!$B$33="-Y",-1,0)))</f>
        <v/>
      </c>
      <c r="C15" t="inlineStr">
        <is>
          <t>+1/-1/0</t>
        </is>
      </c>
      <c r="D15" s="7" t="inlineStr">
        <is>
          <t>wind_y_sign  -- +Y: 1, -Y: -1, X wind or speed 0: 0</t>
        </is>
      </c>
    </row>
    <row r="16">
      <c r="A16" t="inlineStr">
        <is>
          <t>0.5 rho V^2 / 1000</t>
        </is>
      </c>
      <c r="B16" s="3">
        <f>Loads!$B$22</f>
        <v/>
      </c>
      <c r="C16" t="inlineStr">
        <is>
          <t>kN/m^2</t>
        </is>
      </c>
      <c r="D16" s="7" t="inlineStr">
        <is>
          <t>wind_q_kN_m2  -- Loads</t>
        </is>
      </c>
    </row>
    <row r="17">
      <c r="A17" t="inlineStr">
        <is>
          <t>|sin(boom angle)| (boom-local areas)</t>
        </is>
      </c>
      <c r="B17" s="3">
        <f>Loads!$B$23</f>
        <v/>
      </c>
      <c r="D17" s="7" t="inlineStr">
        <is>
          <t>boom_wind_scale  -- Loads</t>
        </is>
      </c>
    </row>
    <row r="18">
      <c r="A18" t="inlineStr">
        <is>
          <t>Hook load</t>
        </is>
      </c>
      <c r="B18" s="3">
        <f>Loads!$B$24</f>
        <v/>
      </c>
      <c r="C18" t="inlineStr">
        <is>
          <t>kN</t>
        </is>
      </c>
      <c r="D18" s="7" t="inlineStr">
        <is>
          <t>hook_kN  -- scene value</t>
        </is>
      </c>
    </row>
    <row r="19">
      <c r="A19" t="inlineStr">
        <is>
          <t>Side force sin(sidelead) x hook load</t>
        </is>
      </c>
      <c r="B19" s="3">
        <f>SIN(RADIANS(Inputs!$B$31))*OutOfPlane!$B$18</f>
        <v/>
      </c>
      <c r="C19" t="inlineStr">
        <is>
          <t>kN</t>
        </is>
      </c>
      <c r="D19" s="7" t="inlineStr">
        <is>
          <t>sidelead_kN  -- +y</t>
        </is>
      </c>
    </row>
    <row r="20">
      <c r="A20" t="inlineStr">
        <is>
          <t>Boom width (heel left/right spacing)</t>
        </is>
      </c>
      <c r="B20" s="3">
        <f>Inputs!$B$12+0</f>
        <v/>
      </c>
      <c r="C20" t="inlineStr">
        <is>
          <t>m</t>
        </is>
      </c>
      <c r="D20" s="7" t="inlineStr">
        <is>
          <t>boom_width_m  -- Inputs structure</t>
        </is>
      </c>
    </row>
    <row r="21">
      <c r="A21" t="inlineStr">
        <is>
          <t>Boom width &gt; 0</t>
        </is>
      </c>
      <c r="B21" s="3">
        <f>IF(OutOfPlane!$B$20&gt;0,1,0)</f>
        <v/>
      </c>
      <c r="C21" t="inlineStr">
        <is>
          <t>1/0</t>
        </is>
      </c>
      <c r="D21" s="7" t="inlineStr">
        <is>
          <t>width_ok  -- 0 trips check zero_boom_width</t>
        </is>
      </c>
    </row>
    <row r="22">
      <c r="A22" t="inlineStr">
        <is>
          <t>Slewing bearing diameter</t>
        </is>
      </c>
      <c r="B22" s="3">
        <f>Inputs!$B$13+0</f>
        <v/>
      </c>
      <c r="C22" t="inlineStr">
        <is>
          <t>m</t>
        </is>
      </c>
      <c r="D22" s="7" t="inlineStr">
        <is>
          <t>bearing_d_m  -- Inputs structure; may be blank</t>
        </is>
      </c>
    </row>
    <row r="23">
      <c r="A23" t="inlineStr">
        <is>
          <t>Bearing diameter &gt; 0</t>
        </is>
      </c>
      <c r="B23" s="3">
        <f>IF(OutOfPlane!$B$22&gt;0,1,0)</f>
        <v/>
      </c>
      <c r="C23" t="inlineStr">
        <is>
          <t>1/0</t>
        </is>
      </c>
      <c r="D23" s="7" t="inlineStr">
        <is>
          <t>bearing_ok  -- 0: bearing rows are n/a</t>
        </is>
      </c>
    </row>
    <row r="25">
      <c r="A25" s="6" t="inlineStr">
        <is>
          <t>Sidelead force (scene hoist)</t>
        </is>
      </c>
    </row>
    <row r="26">
      <c r="A26" t="inlineStr">
        <is>
          <t>Row of the scene hoist in hoists</t>
        </is>
      </c>
      <c r="B26" s="3">
        <f>IF(Inputs!$B$26="",0,IFERROR(MATCH(Inputs!$B$26,Loads!$B$139:$B$146,0),0))</f>
        <v/>
      </c>
      <c r="C26" t="inlineStr">
        <is>
          <t>row</t>
        </is>
      </c>
      <c r="D26" s="7" t="inlineStr">
        <is>
          <t>hoist_row  -- 0 = missing</t>
        </is>
      </c>
    </row>
    <row r="27">
      <c r="A27" t="inlineStr">
        <is>
          <t>Its support node</t>
        </is>
      </c>
      <c r="B27" s="3">
        <f>IF(OutOfPlane!$B$26&gt;0,INDEX(Inputs!$E$304:$E$311,OutOfPlane!$B$26)&amp;"","")</f>
        <v/>
      </c>
      <c r="D27" s="7" t="inlineStr">
        <is>
          <t>support_id  -- Inputs hoists support_node_id</t>
        </is>
      </c>
    </row>
    <row r="28">
      <c r="A28" t="inlineStr">
        <is>
          <t>Its hook node (fallback)</t>
        </is>
      </c>
      <c r="B28" s="3">
        <f>IF(OutOfPlane!$B$26&gt;0,INDEX(Inputs!$D$304:$D$311,OutOfPlane!$B$26)&amp;"","")</f>
        <v/>
      </c>
      <c r="D28" s="7" t="inlineStr">
        <is>
          <t>hook_id  -- Inputs hoists load_node_id</t>
        </is>
      </c>
    </row>
    <row r="29">
      <c r="A29" t="inlineStr">
        <is>
          <t>Row of the support node in nodes</t>
        </is>
      </c>
      <c r="B29" s="3">
        <f>IF(OutOfPlane!$B$27="",0,IFERROR(MATCH(OutOfPlane!$B$27,Geometry!$B$58:$B$137,0),0))</f>
        <v/>
      </c>
      <c r="C29" t="inlineStr">
        <is>
          <t>row</t>
        </is>
      </c>
      <c r="D29" s="7" t="inlineStr">
        <is>
          <t>support_row  -- 0 = missing</t>
        </is>
      </c>
    </row>
    <row r="30">
      <c r="A30" t="inlineStr">
        <is>
          <t>Row of the hook node in nodes</t>
        </is>
      </c>
      <c r="B30" s="3">
        <f>IF(OutOfPlane!$B$28="",0,IFERROR(MATCH(OutOfPlane!$B$28,Geometry!$B$58:$B$137,0),0))</f>
        <v/>
      </c>
      <c r="C30" t="inlineStr">
        <is>
          <t>row</t>
        </is>
      </c>
      <c r="D30" s="7" t="inlineStr">
        <is>
          <t>hook_row  -- 0 = missing</t>
        </is>
      </c>
    </row>
    <row r="31">
      <c r="A31" t="inlineStr">
        <is>
          <t>Row of the node the side force acts at</t>
        </is>
      </c>
      <c r="B31" s="3">
        <f>IF(OutOfPlane!$B$29&gt;0,OutOfPlane!$B$29,OutOfPlane!$B$30)</f>
        <v/>
      </c>
      <c r="C31" t="inlineStr">
        <is>
          <t>row</t>
        </is>
      </c>
      <c r="D31" s="7" t="inlineStr">
        <is>
          <t>node_row  -- support, else hook</t>
        </is>
      </c>
    </row>
    <row r="32">
      <c r="A32" t="inlineStr">
        <is>
          <t>Its x (kinematics)</t>
        </is>
      </c>
      <c r="B32" s="3">
        <f>IF(OutOfPlane!$B$31&gt;0,INDEX(Geometry!$H$58:$H$137,OutOfPlane!$B$31),0)</f>
        <v/>
      </c>
      <c r="C32" t="inlineStr">
        <is>
          <t>m</t>
        </is>
      </c>
      <c r="D32" s="7" t="inlineStr">
        <is>
          <t>x_m  -- Geometry x_kin_m</t>
        </is>
      </c>
    </row>
    <row r="33">
      <c r="A33" t="inlineStr">
        <is>
          <t>Its z (kinematics)</t>
        </is>
      </c>
      <c r="B33" s="3">
        <f>IF(OutOfPlane!$B$31&gt;0,INDEX(Geometry!$I$58:$I$137,OutOfPlane!$B$31),0)</f>
        <v/>
      </c>
      <c r="C33" t="inlineStr">
        <is>
          <t>m</t>
        </is>
      </c>
      <c r="D33" s="7" t="inlineStr">
        <is>
          <t>z_m  -- Geometry z_kin_m</t>
        </is>
      </c>
    </row>
    <row r="34">
      <c r="A34" t="inlineStr">
        <is>
          <t>Side force Fy</t>
        </is>
      </c>
      <c r="B34" s="3">
        <f>IF(OutOfPlane!$B$31&gt;0,OutOfPlane!$B$19,0)</f>
        <v/>
      </c>
      <c r="C34" t="inlineStr">
        <is>
          <t>kN</t>
        </is>
      </c>
      <c r="D34" s="7" t="inlineStr">
        <is>
          <t>fy_kN  -- 0 if no node</t>
        </is>
      </c>
    </row>
    <row r="36">
      <c r="A36" s="6" t="inlineStr">
        <is>
          <t>Mass points (row i = Inputs mass points row i)</t>
        </is>
      </c>
    </row>
    <row r="37">
      <c r="A37" s="8" t="inlineStr">
        <is>
          <t>Active [1/0]</t>
        </is>
      </c>
      <c r="B37" s="8" t="inlineStr">
        <is>
          <t>Body</t>
        </is>
      </c>
      <c r="C37" s="8" t="inlineStr">
        <is>
          <t>Frame</t>
        </is>
      </c>
      <c r="D37" s="8" t="inlineStr">
        <is>
          <t>x global [m]</t>
        </is>
      </c>
      <c r="E37" s="8" t="inlineStr">
        <is>
          <t>y (boom-local v, else y) [m]</t>
        </is>
      </c>
      <c r="F37" s="8" t="inlineStr">
        <is>
          <t>z global [m]</t>
        </is>
      </c>
      <c r="G37" s="8" t="inlineStr">
        <is>
          <t>Mass [t]</t>
        </is>
      </c>
      <c r="H37" s="8" t="inlineStr">
        <is>
          <t>Fx = weight + inertia [kN]</t>
        </is>
      </c>
      <c r="I37" s="8" t="inlineStr">
        <is>
          <t>Fz = weight + inertia [kN]</t>
        </is>
      </c>
      <c r="J37" s="8" t="inlineStr">
        <is>
          <t>Fy = -m (ay' - roll' (z - z_ref)) [kN]</t>
        </is>
      </c>
    </row>
    <row r="38">
      <c r="A38" s="7" t="inlineStr">
        <is>
          <t>active (from Inputs)</t>
        </is>
      </c>
      <c r="B38" s="7" t="inlineStr">
        <is>
          <t>body</t>
        </is>
      </c>
      <c r="C38" s="7" t="inlineStr">
        <is>
          <t>frame</t>
        </is>
      </c>
      <c r="D38" s="7" t="inlineStr">
        <is>
          <t>x_m (Loads)</t>
        </is>
      </c>
      <c r="E38" s="7" t="inlineStr">
        <is>
          <t>y_m</t>
        </is>
      </c>
      <c r="F38" s="7" t="inlineStr">
        <is>
          <t>z_m (Loads)</t>
        </is>
      </c>
      <c r="G38" s="7" t="inlineStr">
        <is>
          <t>mass_t</t>
        </is>
      </c>
      <c r="H38" s="7" t="inlineStr">
        <is>
          <t>fx_kN (Loads)</t>
        </is>
      </c>
      <c r="I38" s="7" t="inlineStr">
        <is>
          <t>fz_kN (Loads)</t>
        </is>
      </c>
      <c r="J38" s="7" t="inlineStr">
        <is>
          <t>fy_kN</t>
        </is>
      </c>
    </row>
    <row r="39">
      <c r="A39" s="3">
        <f>Inputs!$A$46</f>
        <v/>
      </c>
      <c r="B39" s="3">
        <f>Loads!$B$33</f>
        <v/>
      </c>
      <c r="C39" s="3">
        <f>IF(OutOfPlane!$A$39=1,Inputs!$D$46&amp;"","")</f>
        <v/>
      </c>
      <c r="D39" s="3">
        <f>Loads!$C$33</f>
        <v/>
      </c>
      <c r="E39" s="3">
        <f>IF(OutOfPlane!$A$39=1,IF(OutOfPlane!$C$39="boom_local",Inputs!$G$46,Inputs!$J$46)+0,0)</f>
        <v/>
      </c>
      <c r="F39" s="3">
        <f>Loads!$D$33</f>
        <v/>
      </c>
      <c r="G39" s="3">
        <f>Loads!$E$33</f>
        <v/>
      </c>
      <c r="H39" s="3">
        <f>Loads!$L$33</f>
        <v/>
      </c>
      <c r="I39" s="3">
        <f>Loads!$M$33</f>
        <v/>
      </c>
      <c r="J39" s="3">
        <f>-OutOfPlane!$G$39*(OutOfPlane!$B$13-OutOfPlane!$B$14*(OutOfPlane!$F$39-OutOfPlane!$B$12))</f>
        <v/>
      </c>
    </row>
    <row r="40">
      <c r="A40" s="3">
        <f>Inputs!$A$47</f>
        <v/>
      </c>
      <c r="B40" s="3">
        <f>Loads!$B$34</f>
        <v/>
      </c>
      <c r="C40" s="3">
        <f>IF(OutOfPlane!$A$40=1,Inputs!$D$47&amp;"","")</f>
        <v/>
      </c>
      <c r="D40" s="3">
        <f>Loads!$C$34</f>
        <v/>
      </c>
      <c r="E40" s="3">
        <f>IF(OutOfPlane!$A$40=1,IF(OutOfPlane!$C$40="boom_local",Inputs!$G$47,Inputs!$J$47)+0,0)</f>
        <v/>
      </c>
      <c r="F40" s="3">
        <f>Loads!$D$34</f>
        <v/>
      </c>
      <c r="G40" s="3">
        <f>Loads!$E$34</f>
        <v/>
      </c>
      <c r="H40" s="3">
        <f>Loads!$L$34</f>
        <v/>
      </c>
      <c r="I40" s="3">
        <f>Loads!$M$34</f>
        <v/>
      </c>
      <c r="J40" s="3">
        <f>-OutOfPlane!$G$40*(OutOfPlane!$B$13-OutOfPlane!$B$14*(OutOfPlane!$F$40-OutOfPlane!$B$12))</f>
        <v/>
      </c>
    </row>
    <row r="41">
      <c r="A41" s="3">
        <f>Inputs!$A$48</f>
        <v/>
      </c>
      <c r="B41" s="3">
        <f>Loads!$B$35</f>
        <v/>
      </c>
      <c r="C41" s="3">
        <f>IF(OutOfPlane!$A$41=1,Inputs!$D$48&amp;"","")</f>
        <v/>
      </c>
      <c r="D41" s="3">
        <f>Loads!$C$35</f>
        <v/>
      </c>
      <c r="E41" s="3">
        <f>IF(OutOfPlane!$A$41=1,IF(OutOfPlane!$C$41="boom_local",Inputs!$G$48,Inputs!$J$48)+0,0)</f>
        <v/>
      </c>
      <c r="F41" s="3">
        <f>Loads!$D$35</f>
        <v/>
      </c>
      <c r="G41" s="3">
        <f>Loads!$E$35</f>
        <v/>
      </c>
      <c r="H41" s="3">
        <f>Loads!$L$35</f>
        <v/>
      </c>
      <c r="I41" s="3">
        <f>Loads!$M$35</f>
        <v/>
      </c>
      <c r="J41" s="3">
        <f>-OutOfPlane!$G$41*(OutOfPlane!$B$13-OutOfPlane!$B$14*(OutOfPlane!$F$41-OutOfPlane!$B$12))</f>
        <v/>
      </c>
    </row>
    <row r="42">
      <c r="A42" s="3">
        <f>Inputs!$A$49</f>
        <v/>
      </c>
      <c r="B42" s="3">
        <f>Loads!$B$36</f>
        <v/>
      </c>
      <c r="C42" s="3">
        <f>IF(OutOfPlane!$A$42=1,Inputs!$D$49&amp;"","")</f>
        <v/>
      </c>
      <c r="D42" s="3">
        <f>Loads!$C$36</f>
        <v/>
      </c>
      <c r="E42" s="3">
        <f>IF(OutOfPlane!$A$42=1,IF(OutOfPlane!$C$42="boom_local",Inputs!$G$49,Inputs!$J$49)+0,0)</f>
        <v/>
      </c>
      <c r="F42" s="3">
        <f>Loads!$D$36</f>
        <v/>
      </c>
      <c r="G42" s="3">
        <f>Loads!$E$36</f>
        <v/>
      </c>
      <c r="H42" s="3">
        <f>Loads!$L$36</f>
        <v/>
      </c>
      <c r="I42" s="3">
        <f>Loads!$M$36</f>
        <v/>
      </c>
      <c r="J42" s="3">
        <f>-OutOfPlane!$G$42*(OutOfPlane!$B$13-OutOfPlane!$B$14*(OutOfPlane!$F$42-OutOfPlane!$B$12))</f>
        <v/>
      </c>
    </row>
    <row r="43">
      <c r="A43" s="3">
        <f>Inputs!$A$50</f>
        <v/>
      </c>
      <c r="B43" s="3">
        <f>Loads!$B$37</f>
        <v/>
      </c>
      <c r="C43" s="3">
        <f>IF(OutOfPlane!$A$43=1,Inputs!$D$50&amp;"","")</f>
        <v/>
      </c>
      <c r="D43" s="3">
        <f>Loads!$C$37</f>
        <v/>
      </c>
      <c r="E43" s="3">
        <f>IF(OutOfPlane!$A$43=1,IF(OutOfPlane!$C$43="boom_local",Inputs!$G$50,Inputs!$J$50)+0,0)</f>
        <v/>
      </c>
      <c r="F43" s="3">
        <f>Loads!$D$37</f>
        <v/>
      </c>
      <c r="G43" s="3">
        <f>Loads!$E$37</f>
        <v/>
      </c>
      <c r="H43" s="3">
        <f>Loads!$L$37</f>
        <v/>
      </c>
      <c r="I43" s="3">
        <f>Loads!$M$37</f>
        <v/>
      </c>
      <c r="J43" s="3">
        <f>-OutOfPlane!$G$43*(OutOfPlane!$B$13-OutOfPlane!$B$14*(OutOfPlane!$F$43-OutOfPlane!$B$12))</f>
        <v/>
      </c>
    </row>
    <row r="44">
      <c r="A44" s="3">
        <f>Inputs!$A$51</f>
        <v/>
      </c>
      <c r="B44" s="3">
        <f>Loads!$B$38</f>
        <v/>
      </c>
      <c r="C44" s="3">
        <f>IF(OutOfPlane!$A$44=1,Inputs!$D$51&amp;"","")</f>
        <v/>
      </c>
      <c r="D44" s="3">
        <f>Loads!$C$38</f>
        <v/>
      </c>
      <c r="E44" s="3">
        <f>IF(OutOfPlane!$A$44=1,IF(OutOfPlane!$C$44="boom_local",Inputs!$G$51,Inputs!$J$51)+0,0)</f>
        <v/>
      </c>
      <c r="F44" s="3">
        <f>Loads!$D$38</f>
        <v/>
      </c>
      <c r="G44" s="3">
        <f>Loads!$E$38</f>
        <v/>
      </c>
      <c r="H44" s="3">
        <f>Loads!$L$38</f>
        <v/>
      </c>
      <c r="I44" s="3">
        <f>Loads!$M$38</f>
        <v/>
      </c>
      <c r="J44" s="3">
        <f>-OutOfPlane!$G$44*(OutOfPlane!$B$13-OutOfPlane!$B$14*(OutOfPlane!$F$44-OutOfPlane!$B$12))</f>
        <v/>
      </c>
    </row>
    <row r="45">
      <c r="A45" s="3">
        <f>Inputs!$A$52</f>
        <v/>
      </c>
      <c r="B45" s="3">
        <f>Loads!$B$39</f>
        <v/>
      </c>
      <c r="C45" s="3">
        <f>IF(OutOfPlane!$A$45=1,Inputs!$D$52&amp;"","")</f>
        <v/>
      </c>
      <c r="D45" s="3">
        <f>Loads!$C$39</f>
        <v/>
      </c>
      <c r="E45" s="3">
        <f>IF(OutOfPlane!$A$45=1,IF(OutOfPlane!$C$45="boom_local",Inputs!$G$52,Inputs!$J$52)+0,0)</f>
        <v/>
      </c>
      <c r="F45" s="3">
        <f>Loads!$D$39</f>
        <v/>
      </c>
      <c r="G45" s="3">
        <f>Loads!$E$39</f>
        <v/>
      </c>
      <c r="H45" s="3">
        <f>Loads!$L$39</f>
        <v/>
      </c>
      <c r="I45" s="3">
        <f>Loads!$M$39</f>
        <v/>
      </c>
      <c r="J45" s="3">
        <f>-OutOfPlane!$G$45*(OutOfPlane!$B$13-OutOfPlane!$B$14*(OutOfPlane!$F$45-OutOfPlane!$B$12))</f>
        <v/>
      </c>
    </row>
    <row r="46">
      <c r="A46" s="3">
        <f>Inputs!$A$53</f>
        <v/>
      </c>
      <c r="B46" s="3">
        <f>Loads!$B$40</f>
        <v/>
      </c>
      <c r="C46" s="3">
        <f>IF(OutOfPlane!$A$46=1,Inputs!$D$53&amp;"","")</f>
        <v/>
      </c>
      <c r="D46" s="3">
        <f>Loads!$C$40</f>
        <v/>
      </c>
      <c r="E46" s="3">
        <f>IF(OutOfPlane!$A$46=1,IF(OutOfPlane!$C$46="boom_local",Inputs!$G$53,Inputs!$J$53)+0,0)</f>
        <v/>
      </c>
      <c r="F46" s="3">
        <f>Loads!$D$40</f>
        <v/>
      </c>
      <c r="G46" s="3">
        <f>Loads!$E$40</f>
        <v/>
      </c>
      <c r="H46" s="3">
        <f>Loads!$L$40</f>
        <v/>
      </c>
      <c r="I46" s="3">
        <f>Loads!$M$40</f>
        <v/>
      </c>
      <c r="J46" s="3">
        <f>-OutOfPlane!$G$46*(OutOfPlane!$B$13-OutOfPlane!$B$14*(OutOfPlane!$F$46-OutOfPlane!$B$12))</f>
        <v/>
      </c>
    </row>
    <row r="47">
      <c r="A47" s="3">
        <f>Inputs!$A$54</f>
        <v/>
      </c>
      <c r="B47" s="3">
        <f>Loads!$B$41</f>
        <v/>
      </c>
      <c r="C47" s="3">
        <f>IF(OutOfPlane!$A$47=1,Inputs!$D$54&amp;"","")</f>
        <v/>
      </c>
      <c r="D47" s="3">
        <f>Loads!$C$41</f>
        <v/>
      </c>
      <c r="E47" s="3">
        <f>IF(OutOfPlane!$A$47=1,IF(OutOfPlane!$C$47="boom_local",Inputs!$G$54,Inputs!$J$54)+0,0)</f>
        <v/>
      </c>
      <c r="F47" s="3">
        <f>Loads!$D$41</f>
        <v/>
      </c>
      <c r="G47" s="3">
        <f>Loads!$E$41</f>
        <v/>
      </c>
      <c r="H47" s="3">
        <f>Loads!$L$41</f>
        <v/>
      </c>
      <c r="I47" s="3">
        <f>Loads!$M$41</f>
        <v/>
      </c>
      <c r="J47" s="3">
        <f>-OutOfPlane!$G$47*(OutOfPlane!$B$13-OutOfPlane!$B$14*(OutOfPlane!$F$47-OutOfPlane!$B$12))</f>
        <v/>
      </c>
    </row>
    <row r="48">
      <c r="A48" s="3">
        <f>Inputs!$A$55</f>
        <v/>
      </c>
      <c r="B48" s="3">
        <f>Loads!$B$42</f>
        <v/>
      </c>
      <c r="C48" s="3">
        <f>IF(OutOfPlane!$A$48=1,Inputs!$D$55&amp;"","")</f>
        <v/>
      </c>
      <c r="D48" s="3">
        <f>Loads!$C$42</f>
        <v/>
      </c>
      <c r="E48" s="3">
        <f>IF(OutOfPlane!$A$48=1,IF(OutOfPlane!$C$48="boom_local",Inputs!$G$55,Inputs!$J$55)+0,0)</f>
        <v/>
      </c>
      <c r="F48" s="3">
        <f>Loads!$D$42</f>
        <v/>
      </c>
      <c r="G48" s="3">
        <f>Loads!$E$42</f>
        <v/>
      </c>
      <c r="H48" s="3">
        <f>Loads!$L$42</f>
        <v/>
      </c>
      <c r="I48" s="3">
        <f>Loads!$M$42</f>
        <v/>
      </c>
      <c r="J48" s="3">
        <f>-OutOfPlane!$G$48*(OutOfPlane!$B$13-OutOfPlane!$B$14*(OutOfPlane!$F$48-OutOfPlane!$B$12))</f>
        <v/>
      </c>
    </row>
    <row r="49">
      <c r="A49" s="3">
        <f>Inputs!$A$56</f>
        <v/>
      </c>
      <c r="B49" s="3">
        <f>Loads!$B$43</f>
        <v/>
      </c>
      <c r="C49" s="3">
        <f>IF(OutOfPlane!$A$49=1,Inputs!$D$56&amp;"","")</f>
        <v/>
      </c>
      <c r="D49" s="3">
        <f>Loads!$C$43</f>
        <v/>
      </c>
      <c r="E49" s="3">
        <f>IF(OutOfPlane!$A$49=1,IF(OutOfPlane!$C$49="boom_local",Inputs!$G$56,Inputs!$J$56)+0,0)</f>
        <v/>
      </c>
      <c r="F49" s="3">
        <f>Loads!$D$43</f>
        <v/>
      </c>
      <c r="G49" s="3">
        <f>Loads!$E$43</f>
        <v/>
      </c>
      <c r="H49" s="3">
        <f>Loads!$L$43</f>
        <v/>
      </c>
      <c r="I49" s="3">
        <f>Loads!$M$43</f>
        <v/>
      </c>
      <c r="J49" s="3">
        <f>-OutOfPlane!$G$49*(OutOfPlane!$B$13-OutOfPlane!$B$14*(OutOfPlane!$F$49-OutOfPlane!$B$12))</f>
        <v/>
      </c>
    </row>
    <row r="50">
      <c r="A50" s="3">
        <f>Inputs!$A$57</f>
        <v/>
      </c>
      <c r="B50" s="3">
        <f>Loads!$B$44</f>
        <v/>
      </c>
      <c r="C50" s="3">
        <f>IF(OutOfPlane!$A$50=1,Inputs!$D$57&amp;"","")</f>
        <v/>
      </c>
      <c r="D50" s="3">
        <f>Loads!$C$44</f>
        <v/>
      </c>
      <c r="E50" s="3">
        <f>IF(OutOfPlane!$A$50=1,IF(OutOfPlane!$C$50="boom_local",Inputs!$G$57,Inputs!$J$57)+0,0)</f>
        <v/>
      </c>
      <c r="F50" s="3">
        <f>Loads!$D$44</f>
        <v/>
      </c>
      <c r="G50" s="3">
        <f>Loads!$E$44</f>
        <v/>
      </c>
      <c r="H50" s="3">
        <f>Loads!$L$44</f>
        <v/>
      </c>
      <c r="I50" s="3">
        <f>Loads!$M$44</f>
        <v/>
      </c>
      <c r="J50" s="3">
        <f>-OutOfPlane!$G$50*(OutOfPlane!$B$13-OutOfPlane!$B$14*(OutOfPlane!$F$50-OutOfPlane!$B$12))</f>
        <v/>
      </c>
    </row>
    <row r="51">
      <c r="A51" s="3">
        <f>Inputs!$A$58</f>
        <v/>
      </c>
      <c r="B51" s="3">
        <f>Loads!$B$45</f>
        <v/>
      </c>
      <c r="C51" s="3">
        <f>IF(OutOfPlane!$A$51=1,Inputs!$D$58&amp;"","")</f>
        <v/>
      </c>
      <c r="D51" s="3">
        <f>Loads!$C$45</f>
        <v/>
      </c>
      <c r="E51" s="3">
        <f>IF(OutOfPlane!$A$51=1,IF(OutOfPlane!$C$51="boom_local",Inputs!$G$58,Inputs!$J$58)+0,0)</f>
        <v/>
      </c>
      <c r="F51" s="3">
        <f>Loads!$D$45</f>
        <v/>
      </c>
      <c r="G51" s="3">
        <f>Loads!$E$45</f>
        <v/>
      </c>
      <c r="H51" s="3">
        <f>Loads!$L$45</f>
        <v/>
      </c>
      <c r="I51" s="3">
        <f>Loads!$M$45</f>
        <v/>
      </c>
      <c r="J51" s="3">
        <f>-OutOfPlane!$G$51*(OutOfPlane!$B$13-OutOfPlane!$B$14*(OutOfPlane!$F$51-OutOfPlane!$B$12))</f>
        <v/>
      </c>
    </row>
    <row r="52">
      <c r="A52" s="3">
        <f>Inputs!$A$59</f>
        <v/>
      </c>
      <c r="B52" s="3">
        <f>Loads!$B$46</f>
        <v/>
      </c>
      <c r="C52" s="3">
        <f>IF(OutOfPlane!$A$52=1,Inputs!$D$59&amp;"","")</f>
        <v/>
      </c>
      <c r="D52" s="3">
        <f>Loads!$C$46</f>
        <v/>
      </c>
      <c r="E52" s="3">
        <f>IF(OutOfPlane!$A$52=1,IF(OutOfPlane!$C$52="boom_local",Inputs!$G$59,Inputs!$J$59)+0,0)</f>
        <v/>
      </c>
      <c r="F52" s="3">
        <f>Loads!$D$46</f>
        <v/>
      </c>
      <c r="G52" s="3">
        <f>Loads!$E$46</f>
        <v/>
      </c>
      <c r="H52" s="3">
        <f>Loads!$L$46</f>
        <v/>
      </c>
      <c r="I52" s="3">
        <f>Loads!$M$46</f>
        <v/>
      </c>
      <c r="J52" s="3">
        <f>-OutOfPlane!$G$52*(OutOfPlane!$B$13-OutOfPlane!$B$14*(OutOfPlane!$F$52-OutOfPlane!$B$12))</f>
        <v/>
      </c>
    </row>
    <row r="53">
      <c r="A53" s="3">
        <f>Inputs!$A$60</f>
        <v/>
      </c>
      <c r="B53" s="3">
        <f>Loads!$B$47</f>
        <v/>
      </c>
      <c r="C53" s="3">
        <f>IF(OutOfPlane!$A$53=1,Inputs!$D$60&amp;"","")</f>
        <v/>
      </c>
      <c r="D53" s="3">
        <f>Loads!$C$47</f>
        <v/>
      </c>
      <c r="E53" s="3">
        <f>IF(OutOfPlane!$A$53=1,IF(OutOfPlane!$C$53="boom_local",Inputs!$G$60,Inputs!$J$60)+0,0)</f>
        <v/>
      </c>
      <c r="F53" s="3">
        <f>Loads!$D$47</f>
        <v/>
      </c>
      <c r="G53" s="3">
        <f>Loads!$E$47</f>
        <v/>
      </c>
      <c r="H53" s="3">
        <f>Loads!$L$47</f>
        <v/>
      </c>
      <c r="I53" s="3">
        <f>Loads!$M$47</f>
        <v/>
      </c>
      <c r="J53" s="3">
        <f>-OutOfPlane!$G$53*(OutOfPlane!$B$13-OutOfPlane!$B$14*(OutOfPlane!$F$53-OutOfPlane!$B$12))</f>
        <v/>
      </c>
    </row>
    <row r="54">
      <c r="A54" s="3">
        <f>Inputs!$A$61</f>
        <v/>
      </c>
      <c r="B54" s="3">
        <f>Loads!$B$48</f>
        <v/>
      </c>
      <c r="C54" s="3">
        <f>IF(OutOfPlane!$A$54=1,Inputs!$D$61&amp;"","")</f>
        <v/>
      </c>
      <c r="D54" s="3">
        <f>Loads!$C$48</f>
        <v/>
      </c>
      <c r="E54" s="3">
        <f>IF(OutOfPlane!$A$54=1,IF(OutOfPlane!$C$54="boom_local",Inputs!$G$61,Inputs!$J$61)+0,0)</f>
        <v/>
      </c>
      <c r="F54" s="3">
        <f>Loads!$D$48</f>
        <v/>
      </c>
      <c r="G54" s="3">
        <f>Loads!$E$48</f>
        <v/>
      </c>
      <c r="H54" s="3">
        <f>Loads!$L$48</f>
        <v/>
      </c>
      <c r="I54" s="3">
        <f>Loads!$M$48</f>
        <v/>
      </c>
      <c r="J54" s="3">
        <f>-OutOfPlane!$G$54*(OutOfPlane!$B$13-OutOfPlane!$B$14*(OutOfPlane!$F$54-OutOfPlane!$B$12))</f>
        <v/>
      </c>
    </row>
    <row r="55">
      <c r="A55" s="3">
        <f>Inputs!$A$62</f>
        <v/>
      </c>
      <c r="B55" s="3">
        <f>Loads!$B$49</f>
        <v/>
      </c>
      <c r="C55" s="3">
        <f>IF(OutOfPlane!$A$55=1,Inputs!$D$62&amp;"","")</f>
        <v/>
      </c>
      <c r="D55" s="3">
        <f>Loads!$C$49</f>
        <v/>
      </c>
      <c r="E55" s="3">
        <f>IF(OutOfPlane!$A$55=1,IF(OutOfPlane!$C$55="boom_local",Inputs!$G$62,Inputs!$J$62)+0,0)</f>
        <v/>
      </c>
      <c r="F55" s="3">
        <f>Loads!$D$49</f>
        <v/>
      </c>
      <c r="G55" s="3">
        <f>Loads!$E$49</f>
        <v/>
      </c>
      <c r="H55" s="3">
        <f>Loads!$L$49</f>
        <v/>
      </c>
      <c r="I55" s="3">
        <f>Loads!$M$49</f>
        <v/>
      </c>
      <c r="J55" s="3">
        <f>-OutOfPlane!$G$55*(OutOfPlane!$B$13-OutOfPlane!$B$14*(OutOfPlane!$F$55-OutOfPlane!$B$12))</f>
        <v/>
      </c>
    </row>
    <row r="56">
      <c r="A56" s="3">
        <f>Inputs!$A$63</f>
        <v/>
      </c>
      <c r="B56" s="3">
        <f>Loads!$B$50</f>
        <v/>
      </c>
      <c r="C56" s="3">
        <f>IF(OutOfPlane!$A$56=1,Inputs!$D$63&amp;"","")</f>
        <v/>
      </c>
      <c r="D56" s="3">
        <f>Loads!$C$50</f>
        <v/>
      </c>
      <c r="E56" s="3">
        <f>IF(OutOfPlane!$A$56=1,IF(OutOfPlane!$C$56="boom_local",Inputs!$G$63,Inputs!$J$63)+0,0)</f>
        <v/>
      </c>
      <c r="F56" s="3">
        <f>Loads!$D$50</f>
        <v/>
      </c>
      <c r="G56" s="3">
        <f>Loads!$E$50</f>
        <v/>
      </c>
      <c r="H56" s="3">
        <f>Loads!$L$50</f>
        <v/>
      </c>
      <c r="I56" s="3">
        <f>Loads!$M$50</f>
        <v/>
      </c>
      <c r="J56" s="3">
        <f>-OutOfPlane!$G$56*(OutOfPlane!$B$13-OutOfPlane!$B$14*(OutOfPlane!$F$56-OutOfPlane!$B$12))</f>
        <v/>
      </c>
    </row>
    <row r="57">
      <c r="A57" s="3">
        <f>Inputs!$A$64</f>
        <v/>
      </c>
      <c r="B57" s="3">
        <f>Loads!$B$51</f>
        <v/>
      </c>
      <c r="C57" s="3">
        <f>IF(OutOfPlane!$A$57=1,Inputs!$D$64&amp;"","")</f>
        <v/>
      </c>
      <c r="D57" s="3">
        <f>Loads!$C$51</f>
        <v/>
      </c>
      <c r="E57" s="3">
        <f>IF(OutOfPlane!$A$57=1,IF(OutOfPlane!$C$57="boom_local",Inputs!$G$64,Inputs!$J$64)+0,0)</f>
        <v/>
      </c>
      <c r="F57" s="3">
        <f>Loads!$D$51</f>
        <v/>
      </c>
      <c r="G57" s="3">
        <f>Loads!$E$51</f>
        <v/>
      </c>
      <c r="H57" s="3">
        <f>Loads!$L$51</f>
        <v/>
      </c>
      <c r="I57" s="3">
        <f>Loads!$M$51</f>
        <v/>
      </c>
      <c r="J57" s="3">
        <f>-OutOfPlane!$G$57*(OutOfPlane!$B$13-OutOfPlane!$B$14*(OutOfPlane!$F$57-OutOfPlane!$B$12))</f>
        <v/>
      </c>
    </row>
    <row r="58">
      <c r="A58" s="3">
        <f>Inputs!$A$65</f>
        <v/>
      </c>
      <c r="B58" s="3">
        <f>Loads!$B$52</f>
        <v/>
      </c>
      <c r="C58" s="3">
        <f>IF(OutOfPlane!$A$58=1,Inputs!$D$65&amp;"","")</f>
        <v/>
      </c>
      <c r="D58" s="3">
        <f>Loads!$C$52</f>
        <v/>
      </c>
      <c r="E58" s="3">
        <f>IF(OutOfPlane!$A$58=1,IF(OutOfPlane!$C$58="boom_local",Inputs!$G$65,Inputs!$J$65)+0,0)</f>
        <v/>
      </c>
      <c r="F58" s="3">
        <f>Loads!$D$52</f>
        <v/>
      </c>
      <c r="G58" s="3">
        <f>Loads!$E$52</f>
        <v/>
      </c>
      <c r="H58" s="3">
        <f>Loads!$L$52</f>
        <v/>
      </c>
      <c r="I58" s="3">
        <f>Loads!$M$52</f>
        <v/>
      </c>
      <c r="J58" s="3">
        <f>-OutOfPlane!$G$58*(OutOfPlane!$B$13-OutOfPlane!$B$14*(OutOfPlane!$F$58-OutOfPlane!$B$12))</f>
        <v/>
      </c>
    </row>
    <row r="59">
      <c r="A59" s="3">
        <f>Inputs!$A$66</f>
        <v/>
      </c>
      <c r="B59" s="3">
        <f>Loads!$B$53</f>
        <v/>
      </c>
      <c r="C59" s="3">
        <f>IF(OutOfPlane!$A$59=1,Inputs!$D$66&amp;"","")</f>
        <v/>
      </c>
      <c r="D59" s="3">
        <f>Loads!$C$53</f>
        <v/>
      </c>
      <c r="E59" s="3">
        <f>IF(OutOfPlane!$A$59=1,IF(OutOfPlane!$C$59="boom_local",Inputs!$G$66,Inputs!$J$66)+0,0)</f>
        <v/>
      </c>
      <c r="F59" s="3">
        <f>Loads!$D$53</f>
        <v/>
      </c>
      <c r="G59" s="3">
        <f>Loads!$E$53</f>
        <v/>
      </c>
      <c r="H59" s="3">
        <f>Loads!$L$53</f>
        <v/>
      </c>
      <c r="I59" s="3">
        <f>Loads!$M$53</f>
        <v/>
      </c>
      <c r="J59" s="3">
        <f>-OutOfPlane!$G$59*(OutOfPlane!$B$13-OutOfPlane!$B$14*(OutOfPlane!$F$59-OutOfPlane!$B$12))</f>
        <v/>
      </c>
    </row>
    <row r="60">
      <c r="A60" s="3">
        <f>Inputs!$A$67</f>
        <v/>
      </c>
      <c r="B60" s="3">
        <f>Loads!$B$54</f>
        <v/>
      </c>
      <c r="C60" s="3">
        <f>IF(OutOfPlane!$A$60=1,Inputs!$D$67&amp;"","")</f>
        <v/>
      </c>
      <c r="D60" s="3">
        <f>Loads!$C$54</f>
        <v/>
      </c>
      <c r="E60" s="3">
        <f>IF(OutOfPlane!$A$60=1,IF(OutOfPlane!$C$60="boom_local",Inputs!$G$67,Inputs!$J$67)+0,0)</f>
        <v/>
      </c>
      <c r="F60" s="3">
        <f>Loads!$D$54</f>
        <v/>
      </c>
      <c r="G60" s="3">
        <f>Loads!$E$54</f>
        <v/>
      </c>
      <c r="H60" s="3">
        <f>Loads!$L$54</f>
        <v/>
      </c>
      <c r="I60" s="3">
        <f>Loads!$M$54</f>
        <v/>
      </c>
      <c r="J60" s="3">
        <f>-OutOfPlane!$G$60*(OutOfPlane!$B$13-OutOfPlane!$B$14*(OutOfPlane!$F$60-OutOfPlane!$B$12))</f>
        <v/>
      </c>
    </row>
    <row r="61">
      <c r="A61" s="3">
        <f>Inputs!$A$68</f>
        <v/>
      </c>
      <c r="B61" s="3">
        <f>Loads!$B$55</f>
        <v/>
      </c>
      <c r="C61" s="3">
        <f>IF(OutOfPlane!$A$61=1,Inputs!$D$68&amp;"","")</f>
        <v/>
      </c>
      <c r="D61" s="3">
        <f>Loads!$C$55</f>
        <v/>
      </c>
      <c r="E61" s="3">
        <f>IF(OutOfPlane!$A$61=1,IF(OutOfPlane!$C$61="boom_local",Inputs!$G$68,Inputs!$J$68)+0,0)</f>
        <v/>
      </c>
      <c r="F61" s="3">
        <f>Loads!$D$55</f>
        <v/>
      </c>
      <c r="G61" s="3">
        <f>Loads!$E$55</f>
        <v/>
      </c>
      <c r="H61" s="3">
        <f>Loads!$L$55</f>
        <v/>
      </c>
      <c r="I61" s="3">
        <f>Loads!$M$55</f>
        <v/>
      </c>
      <c r="J61" s="3">
        <f>-OutOfPlane!$G$61*(OutOfPlane!$B$13-OutOfPlane!$B$14*(OutOfPlane!$F$61-OutOfPlane!$B$12))</f>
        <v/>
      </c>
    </row>
    <row r="62">
      <c r="A62" s="3">
        <f>Inputs!$A$69</f>
        <v/>
      </c>
      <c r="B62" s="3">
        <f>Loads!$B$56</f>
        <v/>
      </c>
      <c r="C62" s="3">
        <f>IF(OutOfPlane!$A$62=1,Inputs!$D$69&amp;"","")</f>
        <v/>
      </c>
      <c r="D62" s="3">
        <f>Loads!$C$56</f>
        <v/>
      </c>
      <c r="E62" s="3">
        <f>IF(OutOfPlane!$A$62=1,IF(OutOfPlane!$C$62="boom_local",Inputs!$G$69,Inputs!$J$69)+0,0)</f>
        <v/>
      </c>
      <c r="F62" s="3">
        <f>Loads!$D$56</f>
        <v/>
      </c>
      <c r="G62" s="3">
        <f>Loads!$E$56</f>
        <v/>
      </c>
      <c r="H62" s="3">
        <f>Loads!$L$56</f>
        <v/>
      </c>
      <c r="I62" s="3">
        <f>Loads!$M$56</f>
        <v/>
      </c>
      <c r="J62" s="3">
        <f>-OutOfPlane!$G$62*(OutOfPlane!$B$13-OutOfPlane!$B$14*(OutOfPlane!$F$62-OutOfPlane!$B$12))</f>
        <v/>
      </c>
    </row>
    <row r="63">
      <c r="A63" s="3">
        <f>Inputs!$A$70</f>
        <v/>
      </c>
      <c r="B63" s="3">
        <f>Loads!$B$57</f>
        <v/>
      </c>
      <c r="C63" s="3">
        <f>IF(OutOfPlane!$A$63=1,Inputs!$D$70&amp;"","")</f>
        <v/>
      </c>
      <c r="D63" s="3">
        <f>Loads!$C$57</f>
        <v/>
      </c>
      <c r="E63" s="3">
        <f>IF(OutOfPlane!$A$63=1,IF(OutOfPlane!$C$63="boom_local",Inputs!$G$70,Inputs!$J$70)+0,0)</f>
        <v/>
      </c>
      <c r="F63" s="3">
        <f>Loads!$D$57</f>
        <v/>
      </c>
      <c r="G63" s="3">
        <f>Loads!$E$57</f>
        <v/>
      </c>
      <c r="H63" s="3">
        <f>Loads!$L$57</f>
        <v/>
      </c>
      <c r="I63" s="3">
        <f>Loads!$M$57</f>
        <v/>
      </c>
      <c r="J63" s="3">
        <f>-OutOfPlane!$G$63*(OutOfPlane!$B$13-OutOfPlane!$B$14*(OutOfPlane!$F$63-OutOfPlane!$B$12))</f>
        <v/>
      </c>
    </row>
    <row r="64">
      <c r="A64" s="3">
        <f>Inputs!$A$71</f>
        <v/>
      </c>
      <c r="B64" s="3">
        <f>Loads!$B$58</f>
        <v/>
      </c>
      <c r="C64" s="3">
        <f>IF(OutOfPlane!$A$64=1,Inputs!$D$71&amp;"","")</f>
        <v/>
      </c>
      <c r="D64" s="3">
        <f>Loads!$C$58</f>
        <v/>
      </c>
      <c r="E64" s="3">
        <f>IF(OutOfPlane!$A$64=1,IF(OutOfPlane!$C$64="boom_local",Inputs!$G$71,Inputs!$J$71)+0,0)</f>
        <v/>
      </c>
      <c r="F64" s="3">
        <f>Loads!$D$58</f>
        <v/>
      </c>
      <c r="G64" s="3">
        <f>Loads!$E$58</f>
        <v/>
      </c>
      <c r="H64" s="3">
        <f>Loads!$L$58</f>
        <v/>
      </c>
      <c r="I64" s="3">
        <f>Loads!$M$58</f>
        <v/>
      </c>
      <c r="J64" s="3">
        <f>-OutOfPlane!$G$64*(OutOfPlane!$B$13-OutOfPlane!$B$14*(OutOfPlane!$F$64-OutOfPlane!$B$12))</f>
        <v/>
      </c>
    </row>
    <row r="65">
      <c r="A65" s="3">
        <f>Inputs!$A$72</f>
        <v/>
      </c>
      <c r="B65" s="3">
        <f>Loads!$B$59</f>
        <v/>
      </c>
      <c r="C65" s="3">
        <f>IF(OutOfPlane!$A$65=1,Inputs!$D$72&amp;"","")</f>
        <v/>
      </c>
      <c r="D65" s="3">
        <f>Loads!$C$59</f>
        <v/>
      </c>
      <c r="E65" s="3">
        <f>IF(OutOfPlane!$A$65=1,IF(OutOfPlane!$C$65="boom_local",Inputs!$G$72,Inputs!$J$72)+0,0)</f>
        <v/>
      </c>
      <c r="F65" s="3">
        <f>Loads!$D$59</f>
        <v/>
      </c>
      <c r="G65" s="3">
        <f>Loads!$E$59</f>
        <v/>
      </c>
      <c r="H65" s="3">
        <f>Loads!$L$59</f>
        <v/>
      </c>
      <c r="I65" s="3">
        <f>Loads!$M$59</f>
        <v/>
      </c>
      <c r="J65" s="3">
        <f>-OutOfPlane!$G$65*(OutOfPlane!$B$13-OutOfPlane!$B$14*(OutOfPlane!$F$65-OutOfPlane!$B$12))</f>
        <v/>
      </c>
    </row>
    <row r="66">
      <c r="A66" s="3">
        <f>Inputs!$A$73</f>
        <v/>
      </c>
      <c r="B66" s="3">
        <f>Loads!$B$60</f>
        <v/>
      </c>
      <c r="C66" s="3">
        <f>IF(OutOfPlane!$A$66=1,Inputs!$D$73&amp;"","")</f>
        <v/>
      </c>
      <c r="D66" s="3">
        <f>Loads!$C$60</f>
        <v/>
      </c>
      <c r="E66" s="3">
        <f>IF(OutOfPlane!$A$66=1,IF(OutOfPlane!$C$66="boom_local",Inputs!$G$73,Inputs!$J$73)+0,0)</f>
        <v/>
      </c>
      <c r="F66" s="3">
        <f>Loads!$D$60</f>
        <v/>
      </c>
      <c r="G66" s="3">
        <f>Loads!$E$60</f>
        <v/>
      </c>
      <c r="H66" s="3">
        <f>Loads!$L$60</f>
        <v/>
      </c>
      <c r="I66" s="3">
        <f>Loads!$M$60</f>
        <v/>
      </c>
      <c r="J66" s="3">
        <f>-OutOfPlane!$G$66*(OutOfPlane!$B$13-OutOfPlane!$B$14*(OutOfPlane!$F$66-OutOfPlane!$B$12))</f>
        <v/>
      </c>
    </row>
    <row r="67">
      <c r="A67" s="3">
        <f>Inputs!$A$74</f>
        <v/>
      </c>
      <c r="B67" s="3">
        <f>Loads!$B$61</f>
        <v/>
      </c>
      <c r="C67" s="3">
        <f>IF(OutOfPlane!$A$67=1,Inputs!$D$74&amp;"","")</f>
        <v/>
      </c>
      <c r="D67" s="3">
        <f>Loads!$C$61</f>
        <v/>
      </c>
      <c r="E67" s="3">
        <f>IF(OutOfPlane!$A$67=1,IF(OutOfPlane!$C$67="boom_local",Inputs!$G$74,Inputs!$J$74)+0,0)</f>
        <v/>
      </c>
      <c r="F67" s="3">
        <f>Loads!$D$61</f>
        <v/>
      </c>
      <c r="G67" s="3">
        <f>Loads!$E$61</f>
        <v/>
      </c>
      <c r="H67" s="3">
        <f>Loads!$L$61</f>
        <v/>
      </c>
      <c r="I67" s="3">
        <f>Loads!$M$61</f>
        <v/>
      </c>
      <c r="J67" s="3">
        <f>-OutOfPlane!$G$67*(OutOfPlane!$B$13-OutOfPlane!$B$14*(OutOfPlane!$F$67-OutOfPlane!$B$12))</f>
        <v/>
      </c>
    </row>
    <row r="68">
      <c r="A68" s="3">
        <f>Inputs!$A$75</f>
        <v/>
      </c>
      <c r="B68" s="3">
        <f>Loads!$B$62</f>
        <v/>
      </c>
      <c r="C68" s="3">
        <f>IF(OutOfPlane!$A$68=1,Inputs!$D$75&amp;"","")</f>
        <v/>
      </c>
      <c r="D68" s="3">
        <f>Loads!$C$62</f>
        <v/>
      </c>
      <c r="E68" s="3">
        <f>IF(OutOfPlane!$A$68=1,IF(OutOfPlane!$C$68="boom_local",Inputs!$G$75,Inputs!$J$75)+0,0)</f>
        <v/>
      </c>
      <c r="F68" s="3">
        <f>Loads!$D$62</f>
        <v/>
      </c>
      <c r="G68" s="3">
        <f>Loads!$E$62</f>
        <v/>
      </c>
      <c r="H68" s="3">
        <f>Loads!$L$62</f>
        <v/>
      </c>
      <c r="I68" s="3">
        <f>Loads!$M$62</f>
        <v/>
      </c>
      <c r="J68" s="3">
        <f>-OutOfPlane!$G$68*(OutOfPlane!$B$13-OutOfPlane!$B$14*(OutOfPlane!$F$68-OutOfPlane!$B$12))</f>
        <v/>
      </c>
    </row>
    <row r="69">
      <c r="A69" s="3">
        <f>Inputs!$A$76</f>
        <v/>
      </c>
      <c r="B69" s="3">
        <f>Loads!$B$63</f>
        <v/>
      </c>
      <c r="C69" s="3">
        <f>IF(OutOfPlane!$A$69=1,Inputs!$D$76&amp;"","")</f>
        <v/>
      </c>
      <c r="D69" s="3">
        <f>Loads!$C$63</f>
        <v/>
      </c>
      <c r="E69" s="3">
        <f>IF(OutOfPlane!$A$69=1,IF(OutOfPlane!$C$69="boom_local",Inputs!$G$76,Inputs!$J$76)+0,0)</f>
        <v/>
      </c>
      <c r="F69" s="3">
        <f>Loads!$D$63</f>
        <v/>
      </c>
      <c r="G69" s="3">
        <f>Loads!$E$63</f>
        <v/>
      </c>
      <c r="H69" s="3">
        <f>Loads!$L$63</f>
        <v/>
      </c>
      <c r="I69" s="3">
        <f>Loads!$M$63</f>
        <v/>
      </c>
      <c r="J69" s="3">
        <f>-OutOfPlane!$G$69*(OutOfPlane!$B$13-OutOfPlane!$B$14*(OutOfPlane!$F$69-OutOfPlane!$B$12))</f>
        <v/>
      </c>
    </row>
    <row r="70">
      <c r="A70" s="3">
        <f>Inputs!$A$77</f>
        <v/>
      </c>
      <c r="B70" s="3">
        <f>Loads!$B$64</f>
        <v/>
      </c>
      <c r="C70" s="3">
        <f>IF(OutOfPlane!$A$70=1,Inputs!$D$77&amp;"","")</f>
        <v/>
      </c>
      <c r="D70" s="3">
        <f>Loads!$C$64</f>
        <v/>
      </c>
      <c r="E70" s="3">
        <f>IF(OutOfPlane!$A$70=1,IF(OutOfPlane!$C$70="boom_local",Inputs!$G$77,Inputs!$J$77)+0,0)</f>
        <v/>
      </c>
      <c r="F70" s="3">
        <f>Loads!$D$64</f>
        <v/>
      </c>
      <c r="G70" s="3">
        <f>Loads!$E$64</f>
        <v/>
      </c>
      <c r="H70" s="3">
        <f>Loads!$L$64</f>
        <v/>
      </c>
      <c r="I70" s="3">
        <f>Loads!$M$64</f>
        <v/>
      </c>
      <c r="J70" s="3">
        <f>-OutOfPlane!$G$70*(OutOfPlane!$B$13-OutOfPlane!$B$14*(OutOfPlane!$F$70-OutOfPlane!$B$12))</f>
        <v/>
      </c>
    </row>
    <row r="71">
      <c r="A71" s="3">
        <f>Inputs!$A$78</f>
        <v/>
      </c>
      <c r="B71" s="3">
        <f>Loads!$B$65</f>
        <v/>
      </c>
      <c r="C71" s="3">
        <f>IF(OutOfPlane!$A$71=1,Inputs!$D$78&amp;"","")</f>
        <v/>
      </c>
      <c r="D71" s="3">
        <f>Loads!$C$65</f>
        <v/>
      </c>
      <c r="E71" s="3">
        <f>IF(OutOfPlane!$A$71=1,IF(OutOfPlane!$C$71="boom_local",Inputs!$G$78,Inputs!$J$78)+0,0)</f>
        <v/>
      </c>
      <c r="F71" s="3">
        <f>Loads!$D$65</f>
        <v/>
      </c>
      <c r="G71" s="3">
        <f>Loads!$E$65</f>
        <v/>
      </c>
      <c r="H71" s="3">
        <f>Loads!$L$65</f>
        <v/>
      </c>
      <c r="I71" s="3">
        <f>Loads!$M$65</f>
        <v/>
      </c>
      <c r="J71" s="3">
        <f>-OutOfPlane!$G$71*(OutOfPlane!$B$13-OutOfPlane!$B$14*(OutOfPlane!$F$71-OutOfPlane!$B$12))</f>
        <v/>
      </c>
    </row>
    <row r="72">
      <c r="A72" s="3">
        <f>Inputs!$A$79</f>
        <v/>
      </c>
      <c r="B72" s="3">
        <f>Loads!$B$66</f>
        <v/>
      </c>
      <c r="C72" s="3">
        <f>IF(OutOfPlane!$A$72=1,Inputs!$D$79&amp;"","")</f>
        <v/>
      </c>
      <c r="D72" s="3">
        <f>Loads!$C$66</f>
        <v/>
      </c>
      <c r="E72" s="3">
        <f>IF(OutOfPlane!$A$72=1,IF(OutOfPlane!$C$72="boom_local",Inputs!$G$79,Inputs!$J$79)+0,0)</f>
        <v/>
      </c>
      <c r="F72" s="3">
        <f>Loads!$D$66</f>
        <v/>
      </c>
      <c r="G72" s="3">
        <f>Loads!$E$66</f>
        <v/>
      </c>
      <c r="H72" s="3">
        <f>Loads!$L$66</f>
        <v/>
      </c>
      <c r="I72" s="3">
        <f>Loads!$M$66</f>
        <v/>
      </c>
      <c r="J72" s="3">
        <f>-OutOfPlane!$G$72*(OutOfPlane!$B$13-OutOfPlane!$B$14*(OutOfPlane!$F$72-OutOfPlane!$B$12))</f>
        <v/>
      </c>
    </row>
    <row r="73">
      <c r="A73" s="3">
        <f>Inputs!$A$80</f>
        <v/>
      </c>
      <c r="B73" s="3">
        <f>Loads!$B$67</f>
        <v/>
      </c>
      <c r="C73" s="3">
        <f>IF(OutOfPlane!$A$73=1,Inputs!$D$80&amp;"","")</f>
        <v/>
      </c>
      <c r="D73" s="3">
        <f>Loads!$C$67</f>
        <v/>
      </c>
      <c r="E73" s="3">
        <f>IF(OutOfPlane!$A$73=1,IF(OutOfPlane!$C$73="boom_local",Inputs!$G$80,Inputs!$J$80)+0,0)</f>
        <v/>
      </c>
      <c r="F73" s="3">
        <f>Loads!$D$67</f>
        <v/>
      </c>
      <c r="G73" s="3">
        <f>Loads!$E$67</f>
        <v/>
      </c>
      <c r="H73" s="3">
        <f>Loads!$L$67</f>
        <v/>
      </c>
      <c r="I73" s="3">
        <f>Loads!$M$67</f>
        <v/>
      </c>
      <c r="J73" s="3">
        <f>-OutOfPlane!$G$73*(OutOfPlane!$B$13-OutOfPlane!$B$14*(OutOfPlane!$F$73-OutOfPlane!$B$12))</f>
        <v/>
      </c>
    </row>
    <row r="74">
      <c r="A74" s="3">
        <f>Inputs!$A$81</f>
        <v/>
      </c>
      <c r="B74" s="3">
        <f>Loads!$B$68</f>
        <v/>
      </c>
      <c r="C74" s="3">
        <f>IF(OutOfPlane!$A$74=1,Inputs!$D$81&amp;"","")</f>
        <v/>
      </c>
      <c r="D74" s="3">
        <f>Loads!$C$68</f>
        <v/>
      </c>
      <c r="E74" s="3">
        <f>IF(OutOfPlane!$A$74=1,IF(OutOfPlane!$C$74="boom_local",Inputs!$G$81,Inputs!$J$81)+0,0)</f>
        <v/>
      </c>
      <c r="F74" s="3">
        <f>Loads!$D$68</f>
        <v/>
      </c>
      <c r="G74" s="3">
        <f>Loads!$E$68</f>
        <v/>
      </c>
      <c r="H74" s="3">
        <f>Loads!$L$68</f>
        <v/>
      </c>
      <c r="I74" s="3">
        <f>Loads!$M$68</f>
        <v/>
      </c>
      <c r="J74" s="3">
        <f>-OutOfPlane!$G$74*(OutOfPlane!$B$13-OutOfPlane!$B$14*(OutOfPlane!$F$74-OutOfPlane!$B$12))</f>
        <v/>
      </c>
    </row>
    <row r="75">
      <c r="A75" s="3">
        <f>Inputs!$A$82</f>
        <v/>
      </c>
      <c r="B75" s="3">
        <f>Loads!$B$69</f>
        <v/>
      </c>
      <c r="C75" s="3">
        <f>IF(OutOfPlane!$A$75=1,Inputs!$D$82&amp;"","")</f>
        <v/>
      </c>
      <c r="D75" s="3">
        <f>Loads!$C$69</f>
        <v/>
      </c>
      <c r="E75" s="3">
        <f>IF(OutOfPlane!$A$75=1,IF(OutOfPlane!$C$75="boom_local",Inputs!$G$82,Inputs!$J$82)+0,0)</f>
        <v/>
      </c>
      <c r="F75" s="3">
        <f>Loads!$D$69</f>
        <v/>
      </c>
      <c r="G75" s="3">
        <f>Loads!$E$69</f>
        <v/>
      </c>
      <c r="H75" s="3">
        <f>Loads!$L$69</f>
        <v/>
      </c>
      <c r="I75" s="3">
        <f>Loads!$M$69</f>
        <v/>
      </c>
      <c r="J75" s="3">
        <f>-OutOfPlane!$G$75*(OutOfPlane!$B$13-OutOfPlane!$B$14*(OutOfPlane!$F$75-OutOfPlane!$B$12))</f>
        <v/>
      </c>
    </row>
    <row r="76">
      <c r="A76" s="3">
        <f>Inputs!$A$83</f>
        <v/>
      </c>
      <c r="B76" s="3">
        <f>Loads!$B$70</f>
        <v/>
      </c>
      <c r="C76" s="3">
        <f>IF(OutOfPlane!$A$76=1,Inputs!$D$83&amp;"","")</f>
        <v/>
      </c>
      <c r="D76" s="3">
        <f>Loads!$C$70</f>
        <v/>
      </c>
      <c r="E76" s="3">
        <f>IF(OutOfPlane!$A$76=1,IF(OutOfPlane!$C$76="boom_local",Inputs!$G$83,Inputs!$J$83)+0,0)</f>
        <v/>
      </c>
      <c r="F76" s="3">
        <f>Loads!$D$70</f>
        <v/>
      </c>
      <c r="G76" s="3">
        <f>Loads!$E$70</f>
        <v/>
      </c>
      <c r="H76" s="3">
        <f>Loads!$L$70</f>
        <v/>
      </c>
      <c r="I76" s="3">
        <f>Loads!$M$70</f>
        <v/>
      </c>
      <c r="J76" s="3">
        <f>-OutOfPlane!$G$76*(OutOfPlane!$B$13-OutOfPlane!$B$14*(OutOfPlane!$F$76-OutOfPlane!$B$12))</f>
        <v/>
      </c>
    </row>
    <row r="77">
      <c r="A77" s="3">
        <f>Inputs!$A$84</f>
        <v/>
      </c>
      <c r="B77" s="3">
        <f>Loads!$B$71</f>
        <v/>
      </c>
      <c r="C77" s="3">
        <f>IF(OutOfPlane!$A$77=1,Inputs!$D$84&amp;"","")</f>
        <v/>
      </c>
      <c r="D77" s="3">
        <f>Loads!$C$71</f>
        <v/>
      </c>
      <c r="E77" s="3">
        <f>IF(OutOfPlane!$A$77=1,IF(OutOfPlane!$C$77="boom_local",Inputs!$G$84,Inputs!$J$84)+0,0)</f>
        <v/>
      </c>
      <c r="F77" s="3">
        <f>Loads!$D$71</f>
        <v/>
      </c>
      <c r="G77" s="3">
        <f>Loads!$E$71</f>
        <v/>
      </c>
      <c r="H77" s="3">
        <f>Loads!$L$71</f>
        <v/>
      </c>
      <c r="I77" s="3">
        <f>Loads!$M$71</f>
        <v/>
      </c>
      <c r="J77" s="3">
        <f>-OutOfPlane!$G$77*(OutOfPlane!$B$13-OutOfPlane!$B$14*(OutOfPlane!$F$77-OutOfPlane!$B$12))</f>
        <v/>
      </c>
    </row>
    <row r="78">
      <c r="A78" s="3">
        <f>Inputs!$A$85</f>
        <v/>
      </c>
      <c r="B78" s="3">
        <f>Loads!$B$72</f>
        <v/>
      </c>
      <c r="C78" s="3">
        <f>IF(OutOfPlane!$A$78=1,Inputs!$D$85&amp;"","")</f>
        <v/>
      </c>
      <c r="D78" s="3">
        <f>Loads!$C$72</f>
        <v/>
      </c>
      <c r="E78" s="3">
        <f>IF(OutOfPlane!$A$78=1,IF(OutOfPlane!$C$78="boom_local",Inputs!$G$85,Inputs!$J$85)+0,0)</f>
        <v/>
      </c>
      <c r="F78" s="3">
        <f>Loads!$D$72</f>
        <v/>
      </c>
      <c r="G78" s="3">
        <f>Loads!$E$72</f>
        <v/>
      </c>
      <c r="H78" s="3">
        <f>Loads!$L$72</f>
        <v/>
      </c>
      <c r="I78" s="3">
        <f>Loads!$M$72</f>
        <v/>
      </c>
      <c r="J78" s="3">
        <f>-OutOfPlane!$G$78*(OutOfPlane!$B$13-OutOfPlane!$B$14*(OutOfPlane!$F$78-OutOfPlane!$B$12))</f>
        <v/>
      </c>
    </row>
    <row r="82">
      <c r="A82" s="6" t="inlineStr">
        <is>
          <t>Lumped masses at nodes (row i = Inputs nodes row i)</t>
        </is>
      </c>
    </row>
    <row r="83">
      <c r="A83" s="8" t="inlineStr">
        <is>
          <t>Active [1/0]</t>
        </is>
      </c>
      <c r="B83" s="8" t="inlineStr">
        <is>
          <t>Node id</t>
        </is>
      </c>
      <c r="C83" s="8" t="inlineStr">
        <is>
          <t>x global [m]</t>
        </is>
      </c>
      <c r="D83" s="8" t="inlineStr">
        <is>
          <t>z global [m]</t>
        </is>
      </c>
      <c r="E83" s="8" t="inlineStr">
        <is>
          <t>Rope self-weight at node [t]</t>
        </is>
      </c>
      <c r="F83" s="8" t="inlineStr">
        <is>
          <t>Idle hook block mass [t]</t>
        </is>
      </c>
      <c r="G83" s="8" t="inlineStr">
        <is>
          <t>Lumped mass [t]</t>
        </is>
      </c>
      <c r="H83" s="8" t="inlineStr">
        <is>
          <t>Fy = -m (ay' - roll' (z - z_ref)) [kN]</t>
        </is>
      </c>
    </row>
    <row r="84">
      <c r="A84" s="7" t="inlineStr">
        <is>
          <t>active (from Inputs)</t>
        </is>
      </c>
      <c r="B84" s="7" t="inlineStr">
        <is>
          <t>id</t>
        </is>
      </c>
      <c r="C84" s="7" t="inlineStr">
        <is>
          <t>x_m (Loads (with the tackle))</t>
        </is>
      </c>
      <c r="D84" s="7" t="inlineStr">
        <is>
          <t>z_m</t>
        </is>
      </c>
      <c r="E84" s="7" t="inlineStr">
        <is>
          <t>rope_t (Loads rope_mass_t)</t>
        </is>
      </c>
      <c r="F84" s="7" t="inlineStr">
        <is>
          <t>idle_t (Loads idle_mass_t)</t>
        </is>
      </c>
      <c r="G84" s="7" t="inlineStr">
        <is>
          <t>mass_t</t>
        </is>
      </c>
      <c r="H84" s="7" t="inlineStr">
        <is>
          <t>fy_kN</t>
        </is>
      </c>
    </row>
    <row r="85">
      <c r="A85" s="3">
        <f>Inputs!$A$138</f>
        <v/>
      </c>
      <c r="B85" s="3">
        <f>Loads!$B$219</f>
        <v/>
      </c>
      <c r="C85" s="3">
        <f>Loads!$D$219</f>
        <v/>
      </c>
      <c r="D85" s="3">
        <f>Loads!$E$219</f>
        <v/>
      </c>
      <c r="E85" s="3">
        <f>Loads!$H$219</f>
        <v/>
      </c>
      <c r="F85" s="3">
        <f>Loads!$L$219</f>
        <v/>
      </c>
      <c r="G85" s="3">
        <f>OutOfPlane!$E$85+OutOfPlane!$F$85</f>
        <v/>
      </c>
      <c r="H85" s="3">
        <f>-OutOfPlane!$G$85*(OutOfPlane!$B$13-OutOfPlane!$B$14*(OutOfPlane!$D$85-OutOfPlane!$B$12))</f>
        <v/>
      </c>
    </row>
    <row r="86">
      <c r="A86" s="3">
        <f>Inputs!$A$139</f>
        <v/>
      </c>
      <c r="B86" s="3">
        <f>Loads!$B$220</f>
        <v/>
      </c>
      <c r="C86" s="3">
        <f>Loads!$D$220</f>
        <v/>
      </c>
      <c r="D86" s="3">
        <f>Loads!$E$220</f>
        <v/>
      </c>
      <c r="E86" s="3">
        <f>Loads!$H$220</f>
        <v/>
      </c>
      <c r="F86" s="3">
        <f>Loads!$L$220</f>
        <v/>
      </c>
      <c r="G86" s="3">
        <f>OutOfPlane!$E$86+OutOfPlane!$F$86</f>
        <v/>
      </c>
      <c r="H86" s="3">
        <f>-OutOfPlane!$G$86*(OutOfPlane!$B$13-OutOfPlane!$B$14*(OutOfPlane!$D$86-OutOfPlane!$B$12))</f>
        <v/>
      </c>
    </row>
    <row r="87">
      <c r="A87" s="3">
        <f>Inputs!$A$140</f>
        <v/>
      </c>
      <c r="B87" s="3">
        <f>Loads!$B$221</f>
        <v/>
      </c>
      <c r="C87" s="3">
        <f>Loads!$D$221</f>
        <v/>
      </c>
      <c r="D87" s="3">
        <f>Loads!$E$221</f>
        <v/>
      </c>
      <c r="E87" s="3">
        <f>Loads!$H$221</f>
        <v/>
      </c>
      <c r="F87" s="3">
        <f>Loads!$L$221</f>
        <v/>
      </c>
      <c r="G87" s="3">
        <f>OutOfPlane!$E$87+OutOfPlane!$F$87</f>
        <v/>
      </c>
      <c r="H87" s="3">
        <f>-OutOfPlane!$G$87*(OutOfPlane!$B$13-OutOfPlane!$B$14*(OutOfPlane!$D$87-OutOfPlane!$B$12))</f>
        <v/>
      </c>
    </row>
    <row r="88">
      <c r="A88" s="3">
        <f>Inputs!$A$141</f>
        <v/>
      </c>
      <c r="B88" s="3">
        <f>Loads!$B$222</f>
        <v/>
      </c>
      <c r="C88" s="3">
        <f>Loads!$D$222</f>
        <v/>
      </c>
      <c r="D88" s="3">
        <f>Loads!$E$222</f>
        <v/>
      </c>
      <c r="E88" s="3">
        <f>Loads!$H$222</f>
        <v/>
      </c>
      <c r="F88" s="3">
        <f>Loads!$L$222</f>
        <v/>
      </c>
      <c r="G88" s="3">
        <f>OutOfPlane!$E$88+OutOfPlane!$F$88</f>
        <v/>
      </c>
      <c r="H88" s="3">
        <f>-OutOfPlane!$G$88*(OutOfPlane!$B$13-OutOfPlane!$B$14*(OutOfPlane!$D$88-OutOfPlane!$B$12))</f>
        <v/>
      </c>
    </row>
    <row r="89">
      <c r="A89" s="3">
        <f>Inputs!$A$142</f>
        <v/>
      </c>
      <c r="B89" s="3">
        <f>Loads!$B$223</f>
        <v/>
      </c>
      <c r="C89" s="3">
        <f>Loads!$D$223</f>
        <v/>
      </c>
      <c r="D89" s="3">
        <f>Loads!$E$223</f>
        <v/>
      </c>
      <c r="E89" s="3">
        <f>Loads!$H$223</f>
        <v/>
      </c>
      <c r="F89" s="3">
        <f>Loads!$L$223</f>
        <v/>
      </c>
      <c r="G89" s="3">
        <f>OutOfPlane!$E$89+OutOfPlane!$F$89</f>
        <v/>
      </c>
      <c r="H89" s="3">
        <f>-OutOfPlane!$G$89*(OutOfPlane!$B$13-OutOfPlane!$B$14*(OutOfPlane!$D$89-OutOfPlane!$B$12))</f>
        <v/>
      </c>
    </row>
    <row r="90">
      <c r="A90" s="3">
        <f>Inputs!$A$143</f>
        <v/>
      </c>
      <c r="B90" s="3">
        <f>Loads!$B$224</f>
        <v/>
      </c>
      <c r="C90" s="3">
        <f>Loads!$D$224</f>
        <v/>
      </c>
      <c r="D90" s="3">
        <f>Loads!$E$224</f>
        <v/>
      </c>
      <c r="E90" s="3">
        <f>Loads!$H$224</f>
        <v/>
      </c>
      <c r="F90" s="3">
        <f>Loads!$L$224</f>
        <v/>
      </c>
      <c r="G90" s="3">
        <f>OutOfPlane!$E$90+OutOfPlane!$F$90</f>
        <v/>
      </c>
      <c r="H90" s="3">
        <f>-OutOfPlane!$G$90*(OutOfPlane!$B$13-OutOfPlane!$B$14*(OutOfPlane!$D$90-OutOfPlane!$B$12))</f>
        <v/>
      </c>
    </row>
    <row r="91">
      <c r="A91" s="3">
        <f>Inputs!$A$144</f>
        <v/>
      </c>
      <c r="B91" s="3">
        <f>Loads!$B$225</f>
        <v/>
      </c>
      <c r="C91" s="3">
        <f>Loads!$D$225</f>
        <v/>
      </c>
      <c r="D91" s="3">
        <f>Loads!$E$225</f>
        <v/>
      </c>
      <c r="E91" s="3">
        <f>Loads!$H$225</f>
        <v/>
      </c>
      <c r="F91" s="3">
        <f>Loads!$L$225</f>
        <v/>
      </c>
      <c r="G91" s="3">
        <f>OutOfPlane!$E$91+OutOfPlane!$F$91</f>
        <v/>
      </c>
      <c r="H91" s="3">
        <f>-OutOfPlane!$G$91*(OutOfPlane!$B$13-OutOfPlane!$B$14*(OutOfPlane!$D$91-OutOfPlane!$B$12))</f>
        <v/>
      </c>
    </row>
    <row r="92">
      <c r="A92" s="3">
        <f>Inputs!$A$145</f>
        <v/>
      </c>
      <c r="B92" s="3">
        <f>Loads!$B$226</f>
        <v/>
      </c>
      <c r="C92" s="3">
        <f>Loads!$D$226</f>
        <v/>
      </c>
      <c r="D92" s="3">
        <f>Loads!$E$226</f>
        <v/>
      </c>
      <c r="E92" s="3">
        <f>Loads!$H$226</f>
        <v/>
      </c>
      <c r="F92" s="3">
        <f>Loads!$L$226</f>
        <v/>
      </c>
      <c r="G92" s="3">
        <f>OutOfPlane!$E$92+OutOfPlane!$F$92</f>
        <v/>
      </c>
      <c r="H92" s="3">
        <f>-OutOfPlane!$G$92*(OutOfPlane!$B$13-OutOfPlane!$B$14*(OutOfPlane!$D$92-OutOfPlane!$B$12))</f>
        <v/>
      </c>
    </row>
    <row r="93">
      <c r="A93" s="3">
        <f>Inputs!$A$146</f>
        <v/>
      </c>
      <c r="B93" s="3">
        <f>Loads!$B$227</f>
        <v/>
      </c>
      <c r="C93" s="3">
        <f>Loads!$D$227</f>
        <v/>
      </c>
      <c r="D93" s="3">
        <f>Loads!$E$227</f>
        <v/>
      </c>
      <c r="E93" s="3">
        <f>Loads!$H$227</f>
        <v/>
      </c>
      <c r="F93" s="3">
        <f>Loads!$L$227</f>
        <v/>
      </c>
      <c r="G93" s="3">
        <f>OutOfPlane!$E$93+OutOfPlane!$F$93</f>
        <v/>
      </c>
      <c r="H93" s="3">
        <f>-OutOfPlane!$G$93*(OutOfPlane!$B$13-OutOfPlane!$B$14*(OutOfPlane!$D$93-OutOfPlane!$B$12))</f>
        <v/>
      </c>
    </row>
    <row r="94">
      <c r="A94" s="3">
        <f>Inputs!$A$147</f>
        <v/>
      </c>
      <c r="B94" s="3">
        <f>Loads!$B$228</f>
        <v/>
      </c>
      <c r="C94" s="3">
        <f>Loads!$D$228</f>
        <v/>
      </c>
      <c r="D94" s="3">
        <f>Loads!$E$228</f>
        <v/>
      </c>
      <c r="E94" s="3">
        <f>Loads!$H$228</f>
        <v/>
      </c>
      <c r="F94" s="3">
        <f>Loads!$L$228</f>
        <v/>
      </c>
      <c r="G94" s="3">
        <f>OutOfPlane!$E$94+OutOfPlane!$F$94</f>
        <v/>
      </c>
      <c r="H94" s="3">
        <f>-OutOfPlane!$G$94*(OutOfPlane!$B$13-OutOfPlane!$B$14*(OutOfPlane!$D$94-OutOfPlane!$B$12))</f>
        <v/>
      </c>
    </row>
    <row r="95">
      <c r="A95" s="3">
        <f>Inputs!$A$148</f>
        <v/>
      </c>
      <c r="B95" s="3">
        <f>Loads!$B$229</f>
        <v/>
      </c>
      <c r="C95" s="3">
        <f>Loads!$D$229</f>
        <v/>
      </c>
      <c r="D95" s="3">
        <f>Loads!$E$229</f>
        <v/>
      </c>
      <c r="E95" s="3">
        <f>Loads!$H$229</f>
        <v/>
      </c>
      <c r="F95" s="3">
        <f>Loads!$L$229</f>
        <v/>
      </c>
      <c r="G95" s="3">
        <f>OutOfPlane!$E$95+OutOfPlane!$F$95</f>
        <v/>
      </c>
      <c r="H95" s="3">
        <f>-OutOfPlane!$G$95*(OutOfPlane!$B$13-OutOfPlane!$B$14*(OutOfPlane!$D$95-OutOfPlane!$B$12))</f>
        <v/>
      </c>
    </row>
    <row r="96">
      <c r="A96" s="3">
        <f>Inputs!$A$149</f>
        <v/>
      </c>
      <c r="B96" s="3">
        <f>Loads!$B$230</f>
        <v/>
      </c>
      <c r="C96" s="3">
        <f>Loads!$D$230</f>
        <v/>
      </c>
      <c r="D96" s="3">
        <f>Loads!$E$230</f>
        <v/>
      </c>
      <c r="E96" s="3">
        <f>Loads!$H$230</f>
        <v/>
      </c>
      <c r="F96" s="3">
        <f>Loads!$L$230</f>
        <v/>
      </c>
      <c r="G96" s="3">
        <f>OutOfPlane!$E$96+OutOfPlane!$F$96</f>
        <v/>
      </c>
      <c r="H96" s="3">
        <f>-OutOfPlane!$G$96*(OutOfPlane!$B$13-OutOfPlane!$B$14*(OutOfPlane!$D$96-OutOfPlane!$B$12))</f>
        <v/>
      </c>
    </row>
    <row r="97">
      <c r="A97" s="3">
        <f>Inputs!$A$150</f>
        <v/>
      </c>
      <c r="B97" s="3">
        <f>Loads!$B$231</f>
        <v/>
      </c>
      <c r="C97" s="3">
        <f>Loads!$D$231</f>
        <v/>
      </c>
      <c r="D97" s="3">
        <f>Loads!$E$231</f>
        <v/>
      </c>
      <c r="E97" s="3">
        <f>Loads!$H$231</f>
        <v/>
      </c>
      <c r="F97" s="3">
        <f>Loads!$L$231</f>
        <v/>
      </c>
      <c r="G97" s="3">
        <f>OutOfPlane!$E$97+OutOfPlane!$F$97</f>
        <v/>
      </c>
      <c r="H97" s="3">
        <f>-OutOfPlane!$G$97*(OutOfPlane!$B$13-OutOfPlane!$B$14*(OutOfPlane!$D$97-OutOfPlane!$B$12))</f>
        <v/>
      </c>
    </row>
    <row r="98">
      <c r="A98" s="3">
        <f>Inputs!$A$151</f>
        <v/>
      </c>
      <c r="B98" s="3">
        <f>Loads!$B$232</f>
        <v/>
      </c>
      <c r="C98" s="3">
        <f>Loads!$D$232</f>
        <v/>
      </c>
      <c r="D98" s="3">
        <f>Loads!$E$232</f>
        <v/>
      </c>
      <c r="E98" s="3">
        <f>Loads!$H$232</f>
        <v/>
      </c>
      <c r="F98" s="3">
        <f>Loads!$L$232</f>
        <v/>
      </c>
      <c r="G98" s="3">
        <f>OutOfPlane!$E$98+OutOfPlane!$F$98</f>
        <v/>
      </c>
      <c r="H98" s="3">
        <f>-OutOfPlane!$G$98*(OutOfPlane!$B$13-OutOfPlane!$B$14*(OutOfPlane!$D$98-OutOfPlane!$B$12))</f>
        <v/>
      </c>
    </row>
    <row r="99">
      <c r="A99" s="3">
        <f>Inputs!$A$152</f>
        <v/>
      </c>
      <c r="B99" s="3">
        <f>Loads!$B$233</f>
        <v/>
      </c>
      <c r="C99" s="3">
        <f>Loads!$D$233</f>
        <v/>
      </c>
      <c r="D99" s="3">
        <f>Loads!$E$233</f>
        <v/>
      </c>
      <c r="E99" s="3">
        <f>Loads!$H$233</f>
        <v/>
      </c>
      <c r="F99" s="3">
        <f>Loads!$L$233</f>
        <v/>
      </c>
      <c r="G99" s="3">
        <f>OutOfPlane!$E$99+OutOfPlane!$F$99</f>
        <v/>
      </c>
      <c r="H99" s="3">
        <f>-OutOfPlane!$G$99*(OutOfPlane!$B$13-OutOfPlane!$B$14*(OutOfPlane!$D$99-OutOfPlane!$B$12))</f>
        <v/>
      </c>
    </row>
    <row r="100">
      <c r="A100" s="3">
        <f>Inputs!$A$153</f>
        <v/>
      </c>
      <c r="B100" s="3">
        <f>Loads!$B$234</f>
        <v/>
      </c>
      <c r="C100" s="3">
        <f>Loads!$D$234</f>
        <v/>
      </c>
      <c r="D100" s="3">
        <f>Loads!$E$234</f>
        <v/>
      </c>
      <c r="E100" s="3">
        <f>Loads!$H$234</f>
        <v/>
      </c>
      <c r="F100" s="3">
        <f>Loads!$L$234</f>
        <v/>
      </c>
      <c r="G100" s="3">
        <f>OutOfPlane!$E$100+OutOfPlane!$F$100</f>
        <v/>
      </c>
      <c r="H100" s="3">
        <f>-OutOfPlane!$G$100*(OutOfPlane!$B$13-OutOfPlane!$B$14*(OutOfPlane!$D$100-OutOfPlane!$B$12))</f>
        <v/>
      </c>
    </row>
    <row r="101">
      <c r="A101" s="3">
        <f>Inputs!$A$154</f>
        <v/>
      </c>
      <c r="B101" s="3">
        <f>Loads!$B$235</f>
        <v/>
      </c>
      <c r="C101" s="3">
        <f>Loads!$D$235</f>
        <v/>
      </c>
      <c r="D101" s="3">
        <f>Loads!$E$235</f>
        <v/>
      </c>
      <c r="E101" s="3">
        <f>Loads!$H$235</f>
        <v/>
      </c>
      <c r="F101" s="3">
        <f>Loads!$L$235</f>
        <v/>
      </c>
      <c r="G101" s="3">
        <f>OutOfPlane!$E$101+OutOfPlane!$F$101</f>
        <v/>
      </c>
      <c r="H101" s="3">
        <f>-OutOfPlane!$G$101*(OutOfPlane!$B$13-OutOfPlane!$B$14*(OutOfPlane!$D$101-OutOfPlane!$B$12))</f>
        <v/>
      </c>
    </row>
    <row r="102">
      <c r="A102" s="3">
        <f>Inputs!$A$155</f>
        <v/>
      </c>
      <c r="B102" s="3">
        <f>Loads!$B$236</f>
        <v/>
      </c>
      <c r="C102" s="3">
        <f>Loads!$D$236</f>
        <v/>
      </c>
      <c r="D102" s="3">
        <f>Loads!$E$236</f>
        <v/>
      </c>
      <c r="E102" s="3">
        <f>Loads!$H$236</f>
        <v/>
      </c>
      <c r="F102" s="3">
        <f>Loads!$L$236</f>
        <v/>
      </c>
      <c r="G102" s="3">
        <f>OutOfPlane!$E$102+OutOfPlane!$F$102</f>
        <v/>
      </c>
      <c r="H102" s="3">
        <f>-OutOfPlane!$G$102*(OutOfPlane!$B$13-OutOfPlane!$B$14*(OutOfPlane!$D$102-OutOfPlane!$B$12))</f>
        <v/>
      </c>
    </row>
    <row r="103">
      <c r="A103" s="3">
        <f>Inputs!$A$156</f>
        <v/>
      </c>
      <c r="B103" s="3">
        <f>Loads!$B$237</f>
        <v/>
      </c>
      <c r="C103" s="3">
        <f>Loads!$D$237</f>
        <v/>
      </c>
      <c r="D103" s="3">
        <f>Loads!$E$237</f>
        <v/>
      </c>
      <c r="E103" s="3">
        <f>Loads!$H$237</f>
        <v/>
      </c>
      <c r="F103" s="3">
        <f>Loads!$L$237</f>
        <v/>
      </c>
      <c r="G103" s="3">
        <f>OutOfPlane!$E$103+OutOfPlane!$F$103</f>
        <v/>
      </c>
      <c r="H103" s="3">
        <f>-OutOfPlane!$G$103*(OutOfPlane!$B$13-OutOfPlane!$B$14*(OutOfPlane!$D$103-OutOfPlane!$B$12))</f>
        <v/>
      </c>
    </row>
    <row r="104">
      <c r="A104" s="3">
        <f>Inputs!$A$157</f>
        <v/>
      </c>
      <c r="B104" s="3">
        <f>Loads!$B$238</f>
        <v/>
      </c>
      <c r="C104" s="3">
        <f>Loads!$D$238</f>
        <v/>
      </c>
      <c r="D104" s="3">
        <f>Loads!$E$238</f>
        <v/>
      </c>
      <c r="E104" s="3">
        <f>Loads!$H$238</f>
        <v/>
      </c>
      <c r="F104" s="3">
        <f>Loads!$L$238</f>
        <v/>
      </c>
      <c r="G104" s="3">
        <f>OutOfPlane!$E$104+OutOfPlane!$F$104</f>
        <v/>
      </c>
      <c r="H104" s="3">
        <f>-OutOfPlane!$G$104*(OutOfPlane!$B$13-OutOfPlane!$B$14*(OutOfPlane!$D$104-OutOfPlane!$B$12))</f>
        <v/>
      </c>
    </row>
    <row r="105">
      <c r="A105" s="3">
        <f>Inputs!$A$158</f>
        <v/>
      </c>
      <c r="B105" s="3">
        <f>Loads!$B$239</f>
        <v/>
      </c>
      <c r="C105" s="3">
        <f>Loads!$D$239</f>
        <v/>
      </c>
      <c r="D105" s="3">
        <f>Loads!$E$239</f>
        <v/>
      </c>
      <c r="E105" s="3">
        <f>Loads!$H$239</f>
        <v/>
      </c>
      <c r="F105" s="3">
        <f>Loads!$L$239</f>
        <v/>
      </c>
      <c r="G105" s="3">
        <f>OutOfPlane!$E$105+OutOfPlane!$F$105</f>
        <v/>
      </c>
      <c r="H105" s="3">
        <f>-OutOfPlane!$G$105*(OutOfPlane!$B$13-OutOfPlane!$B$14*(OutOfPlane!$D$105-OutOfPlane!$B$12))</f>
        <v/>
      </c>
    </row>
    <row r="106">
      <c r="A106" s="3">
        <f>Inputs!$A$159</f>
        <v/>
      </c>
      <c r="B106" s="3">
        <f>Loads!$B$240</f>
        <v/>
      </c>
      <c r="C106" s="3">
        <f>Loads!$D$240</f>
        <v/>
      </c>
      <c r="D106" s="3">
        <f>Loads!$E$240</f>
        <v/>
      </c>
      <c r="E106" s="3">
        <f>Loads!$H$240</f>
        <v/>
      </c>
      <c r="F106" s="3">
        <f>Loads!$L$240</f>
        <v/>
      </c>
      <c r="G106" s="3">
        <f>OutOfPlane!$E$106+OutOfPlane!$F$106</f>
        <v/>
      </c>
      <c r="H106" s="3">
        <f>-OutOfPlane!$G$106*(OutOfPlane!$B$13-OutOfPlane!$B$14*(OutOfPlane!$D$106-OutOfPlane!$B$12))</f>
        <v/>
      </c>
    </row>
    <row r="107">
      <c r="A107" s="3">
        <f>Inputs!$A$160</f>
        <v/>
      </c>
      <c r="B107" s="3">
        <f>Loads!$B$241</f>
        <v/>
      </c>
      <c r="C107" s="3">
        <f>Loads!$D$241</f>
        <v/>
      </c>
      <c r="D107" s="3">
        <f>Loads!$E$241</f>
        <v/>
      </c>
      <c r="E107" s="3">
        <f>Loads!$H$241</f>
        <v/>
      </c>
      <c r="F107" s="3">
        <f>Loads!$L$241</f>
        <v/>
      </c>
      <c r="G107" s="3">
        <f>OutOfPlane!$E$107+OutOfPlane!$F$107</f>
        <v/>
      </c>
      <c r="H107" s="3">
        <f>-OutOfPlane!$G$107*(OutOfPlane!$B$13-OutOfPlane!$B$14*(OutOfPlane!$D$107-OutOfPlane!$B$12))</f>
        <v/>
      </c>
    </row>
    <row r="108">
      <c r="A108" s="3">
        <f>Inputs!$A$161</f>
        <v/>
      </c>
      <c r="B108" s="3">
        <f>Loads!$B$242</f>
        <v/>
      </c>
      <c r="C108" s="3">
        <f>Loads!$D$242</f>
        <v/>
      </c>
      <c r="D108" s="3">
        <f>Loads!$E$242</f>
        <v/>
      </c>
      <c r="E108" s="3">
        <f>Loads!$H$242</f>
        <v/>
      </c>
      <c r="F108" s="3">
        <f>Loads!$L$242</f>
        <v/>
      </c>
      <c r="G108" s="3">
        <f>OutOfPlane!$E$108+OutOfPlane!$F$108</f>
        <v/>
      </c>
      <c r="H108" s="3">
        <f>-OutOfPlane!$G$108*(OutOfPlane!$B$13-OutOfPlane!$B$14*(OutOfPlane!$D$108-OutOfPlane!$B$12))</f>
        <v/>
      </c>
    </row>
    <row r="109">
      <c r="A109" s="3">
        <f>Inputs!$A$162</f>
        <v/>
      </c>
      <c r="B109" s="3">
        <f>Loads!$B$243</f>
        <v/>
      </c>
      <c r="C109" s="3">
        <f>Loads!$D$243</f>
        <v/>
      </c>
      <c r="D109" s="3">
        <f>Loads!$E$243</f>
        <v/>
      </c>
      <c r="E109" s="3">
        <f>Loads!$H$243</f>
        <v/>
      </c>
      <c r="F109" s="3">
        <f>Loads!$L$243</f>
        <v/>
      </c>
      <c r="G109" s="3">
        <f>OutOfPlane!$E$109+OutOfPlane!$F$109</f>
        <v/>
      </c>
      <c r="H109" s="3">
        <f>-OutOfPlane!$G$109*(OutOfPlane!$B$13-OutOfPlane!$B$14*(OutOfPlane!$D$109-OutOfPlane!$B$12))</f>
        <v/>
      </c>
    </row>
    <row r="110">
      <c r="A110" s="3">
        <f>Inputs!$A$163</f>
        <v/>
      </c>
      <c r="B110" s="3">
        <f>Loads!$B$244</f>
        <v/>
      </c>
      <c r="C110" s="3">
        <f>Loads!$D$244</f>
        <v/>
      </c>
      <c r="D110" s="3">
        <f>Loads!$E$244</f>
        <v/>
      </c>
      <c r="E110" s="3">
        <f>Loads!$H$244</f>
        <v/>
      </c>
      <c r="F110" s="3">
        <f>Loads!$L$244</f>
        <v/>
      </c>
      <c r="G110" s="3">
        <f>OutOfPlane!$E$110+OutOfPlane!$F$110</f>
        <v/>
      </c>
      <c r="H110" s="3">
        <f>-OutOfPlane!$G$110*(OutOfPlane!$B$13-OutOfPlane!$B$14*(OutOfPlane!$D$110-OutOfPlane!$B$12))</f>
        <v/>
      </c>
    </row>
    <row r="111">
      <c r="A111" s="3">
        <f>Inputs!$A$164</f>
        <v/>
      </c>
      <c r="B111" s="3">
        <f>Loads!$B$245</f>
        <v/>
      </c>
      <c r="C111" s="3">
        <f>Loads!$D$245</f>
        <v/>
      </c>
      <c r="D111" s="3">
        <f>Loads!$E$245</f>
        <v/>
      </c>
      <c r="E111" s="3">
        <f>Loads!$H$245</f>
        <v/>
      </c>
      <c r="F111" s="3">
        <f>Loads!$L$245</f>
        <v/>
      </c>
      <c r="G111" s="3">
        <f>OutOfPlane!$E$111+OutOfPlane!$F$111</f>
        <v/>
      </c>
      <c r="H111" s="3">
        <f>-OutOfPlane!$G$111*(OutOfPlane!$B$13-OutOfPlane!$B$14*(OutOfPlane!$D$111-OutOfPlane!$B$12))</f>
        <v/>
      </c>
    </row>
    <row r="112">
      <c r="A112" s="3">
        <f>Inputs!$A$165</f>
        <v/>
      </c>
      <c r="B112" s="3">
        <f>Loads!$B$246</f>
        <v/>
      </c>
      <c r="C112" s="3">
        <f>Loads!$D$246</f>
        <v/>
      </c>
      <c r="D112" s="3">
        <f>Loads!$E$246</f>
        <v/>
      </c>
      <c r="E112" s="3">
        <f>Loads!$H$246</f>
        <v/>
      </c>
      <c r="F112" s="3">
        <f>Loads!$L$246</f>
        <v/>
      </c>
      <c r="G112" s="3">
        <f>OutOfPlane!$E$112+OutOfPlane!$F$112</f>
        <v/>
      </c>
      <c r="H112" s="3">
        <f>-OutOfPlane!$G$112*(OutOfPlane!$B$13-OutOfPlane!$B$14*(OutOfPlane!$D$112-OutOfPlane!$B$12))</f>
        <v/>
      </c>
    </row>
    <row r="113">
      <c r="A113" s="3">
        <f>Inputs!$A$166</f>
        <v/>
      </c>
      <c r="B113" s="3">
        <f>Loads!$B$247</f>
        <v/>
      </c>
      <c r="C113" s="3">
        <f>Loads!$D$247</f>
        <v/>
      </c>
      <c r="D113" s="3">
        <f>Loads!$E$247</f>
        <v/>
      </c>
      <c r="E113" s="3">
        <f>Loads!$H$247</f>
        <v/>
      </c>
      <c r="F113" s="3">
        <f>Loads!$L$247</f>
        <v/>
      </c>
      <c r="G113" s="3">
        <f>OutOfPlane!$E$113+OutOfPlane!$F$113</f>
        <v/>
      </c>
      <c r="H113" s="3">
        <f>-OutOfPlane!$G$113*(OutOfPlane!$B$13-OutOfPlane!$B$14*(OutOfPlane!$D$113-OutOfPlane!$B$12))</f>
        <v/>
      </c>
    </row>
    <row r="114">
      <c r="A114" s="3">
        <f>Inputs!$A$167</f>
        <v/>
      </c>
      <c r="B114" s="3">
        <f>Loads!$B$248</f>
        <v/>
      </c>
      <c r="C114" s="3">
        <f>Loads!$D$248</f>
        <v/>
      </c>
      <c r="D114" s="3">
        <f>Loads!$E$248</f>
        <v/>
      </c>
      <c r="E114" s="3">
        <f>Loads!$H$248</f>
        <v/>
      </c>
      <c r="F114" s="3">
        <f>Loads!$L$248</f>
        <v/>
      </c>
      <c r="G114" s="3">
        <f>OutOfPlane!$E$114+OutOfPlane!$F$114</f>
        <v/>
      </c>
      <c r="H114" s="3">
        <f>-OutOfPlane!$G$114*(OutOfPlane!$B$13-OutOfPlane!$B$14*(OutOfPlane!$D$114-OutOfPlane!$B$12))</f>
        <v/>
      </c>
    </row>
    <row r="115">
      <c r="A115" s="3">
        <f>Inputs!$A$168</f>
        <v/>
      </c>
      <c r="B115" s="3">
        <f>Loads!$B$249</f>
        <v/>
      </c>
      <c r="C115" s="3">
        <f>Loads!$D$249</f>
        <v/>
      </c>
      <c r="D115" s="3">
        <f>Loads!$E$249</f>
        <v/>
      </c>
      <c r="E115" s="3">
        <f>Loads!$H$249</f>
        <v/>
      </c>
      <c r="F115" s="3">
        <f>Loads!$L$249</f>
        <v/>
      </c>
      <c r="G115" s="3">
        <f>OutOfPlane!$E$115+OutOfPlane!$F$115</f>
        <v/>
      </c>
      <c r="H115" s="3">
        <f>-OutOfPlane!$G$115*(OutOfPlane!$B$13-OutOfPlane!$B$14*(OutOfPlane!$D$115-OutOfPlane!$B$12))</f>
        <v/>
      </c>
    </row>
    <row r="116">
      <c r="A116" s="3">
        <f>Inputs!$A$169</f>
        <v/>
      </c>
      <c r="B116" s="3">
        <f>Loads!$B$250</f>
        <v/>
      </c>
      <c r="C116" s="3">
        <f>Loads!$D$250</f>
        <v/>
      </c>
      <c r="D116" s="3">
        <f>Loads!$E$250</f>
        <v/>
      </c>
      <c r="E116" s="3">
        <f>Loads!$H$250</f>
        <v/>
      </c>
      <c r="F116" s="3">
        <f>Loads!$L$250</f>
        <v/>
      </c>
      <c r="G116" s="3">
        <f>OutOfPlane!$E$116+OutOfPlane!$F$116</f>
        <v/>
      </c>
      <c r="H116" s="3">
        <f>-OutOfPlane!$G$116*(OutOfPlane!$B$13-OutOfPlane!$B$14*(OutOfPlane!$D$116-OutOfPlane!$B$12))</f>
        <v/>
      </c>
    </row>
    <row r="117">
      <c r="A117" s="3">
        <f>Inputs!$A$170</f>
        <v/>
      </c>
      <c r="B117" s="3">
        <f>Loads!$B$251</f>
        <v/>
      </c>
      <c r="C117" s="3">
        <f>Loads!$D$251</f>
        <v/>
      </c>
      <c r="D117" s="3">
        <f>Loads!$E$251</f>
        <v/>
      </c>
      <c r="E117" s="3">
        <f>Loads!$H$251</f>
        <v/>
      </c>
      <c r="F117" s="3">
        <f>Loads!$L$251</f>
        <v/>
      </c>
      <c r="G117" s="3">
        <f>OutOfPlane!$E$117+OutOfPlane!$F$117</f>
        <v/>
      </c>
      <c r="H117" s="3">
        <f>-OutOfPlane!$G$117*(OutOfPlane!$B$13-OutOfPlane!$B$14*(OutOfPlane!$D$117-OutOfPlane!$B$12))</f>
        <v/>
      </c>
    </row>
    <row r="118">
      <c r="A118" s="3">
        <f>Inputs!$A$171</f>
        <v/>
      </c>
      <c r="B118" s="3">
        <f>Loads!$B$252</f>
        <v/>
      </c>
      <c r="C118" s="3">
        <f>Loads!$D$252</f>
        <v/>
      </c>
      <c r="D118" s="3">
        <f>Loads!$E$252</f>
        <v/>
      </c>
      <c r="E118" s="3">
        <f>Loads!$H$252</f>
        <v/>
      </c>
      <c r="F118" s="3">
        <f>Loads!$L$252</f>
        <v/>
      </c>
      <c r="G118" s="3">
        <f>OutOfPlane!$E$118+OutOfPlane!$F$118</f>
        <v/>
      </c>
      <c r="H118" s="3">
        <f>-OutOfPlane!$G$118*(OutOfPlane!$B$13-OutOfPlane!$B$14*(OutOfPlane!$D$118-OutOfPlane!$B$12))</f>
        <v/>
      </c>
    </row>
    <row r="119">
      <c r="A119" s="3">
        <f>Inputs!$A$172</f>
        <v/>
      </c>
      <c r="B119" s="3">
        <f>Loads!$B$253</f>
        <v/>
      </c>
      <c r="C119" s="3">
        <f>Loads!$D$253</f>
        <v/>
      </c>
      <c r="D119" s="3">
        <f>Loads!$E$253</f>
        <v/>
      </c>
      <c r="E119" s="3">
        <f>Loads!$H$253</f>
        <v/>
      </c>
      <c r="F119" s="3">
        <f>Loads!$L$253</f>
        <v/>
      </c>
      <c r="G119" s="3">
        <f>OutOfPlane!$E$119+OutOfPlane!$F$119</f>
        <v/>
      </c>
      <c r="H119" s="3">
        <f>-OutOfPlane!$G$119*(OutOfPlane!$B$13-OutOfPlane!$B$14*(OutOfPlane!$D$119-OutOfPlane!$B$12))</f>
        <v/>
      </c>
    </row>
    <row r="120">
      <c r="A120" s="3">
        <f>Inputs!$A$173</f>
        <v/>
      </c>
      <c r="B120" s="3">
        <f>Loads!$B$254</f>
        <v/>
      </c>
      <c r="C120" s="3">
        <f>Loads!$D$254</f>
        <v/>
      </c>
      <c r="D120" s="3">
        <f>Loads!$E$254</f>
        <v/>
      </c>
      <c r="E120" s="3">
        <f>Loads!$H$254</f>
        <v/>
      </c>
      <c r="F120" s="3">
        <f>Loads!$L$254</f>
        <v/>
      </c>
      <c r="G120" s="3">
        <f>OutOfPlane!$E$120+OutOfPlane!$F$120</f>
        <v/>
      </c>
      <c r="H120" s="3">
        <f>-OutOfPlane!$G$120*(OutOfPlane!$B$13-OutOfPlane!$B$14*(OutOfPlane!$D$120-OutOfPlane!$B$12))</f>
        <v/>
      </c>
    </row>
    <row r="121">
      <c r="A121" s="3">
        <f>Inputs!$A$174</f>
        <v/>
      </c>
      <c r="B121" s="3">
        <f>Loads!$B$255</f>
        <v/>
      </c>
      <c r="C121" s="3">
        <f>Loads!$D$255</f>
        <v/>
      </c>
      <c r="D121" s="3">
        <f>Loads!$E$255</f>
        <v/>
      </c>
      <c r="E121" s="3">
        <f>Loads!$H$255</f>
        <v/>
      </c>
      <c r="F121" s="3">
        <f>Loads!$L$255</f>
        <v/>
      </c>
      <c r="G121" s="3">
        <f>OutOfPlane!$E$121+OutOfPlane!$F$121</f>
        <v/>
      </c>
      <c r="H121" s="3">
        <f>-OutOfPlane!$G$121*(OutOfPlane!$B$13-OutOfPlane!$B$14*(OutOfPlane!$D$121-OutOfPlane!$B$12))</f>
        <v/>
      </c>
    </row>
    <row r="122">
      <c r="A122" s="3">
        <f>Inputs!$A$175</f>
        <v/>
      </c>
      <c r="B122" s="3">
        <f>Loads!$B$256</f>
        <v/>
      </c>
      <c r="C122" s="3">
        <f>Loads!$D$256</f>
        <v/>
      </c>
      <c r="D122" s="3">
        <f>Loads!$E$256</f>
        <v/>
      </c>
      <c r="E122" s="3">
        <f>Loads!$H$256</f>
        <v/>
      </c>
      <c r="F122" s="3">
        <f>Loads!$L$256</f>
        <v/>
      </c>
      <c r="G122" s="3">
        <f>OutOfPlane!$E$122+OutOfPlane!$F$122</f>
        <v/>
      </c>
      <c r="H122" s="3">
        <f>-OutOfPlane!$G$122*(OutOfPlane!$B$13-OutOfPlane!$B$14*(OutOfPlane!$D$122-OutOfPlane!$B$12))</f>
        <v/>
      </c>
    </row>
    <row r="123">
      <c r="A123" s="3">
        <f>Inputs!$A$176</f>
        <v/>
      </c>
      <c r="B123" s="3">
        <f>Loads!$B$257</f>
        <v/>
      </c>
      <c r="C123" s="3">
        <f>Loads!$D$257</f>
        <v/>
      </c>
      <c r="D123" s="3">
        <f>Loads!$E$257</f>
        <v/>
      </c>
      <c r="E123" s="3">
        <f>Loads!$H$257</f>
        <v/>
      </c>
      <c r="F123" s="3">
        <f>Loads!$L$257</f>
        <v/>
      </c>
      <c r="G123" s="3">
        <f>OutOfPlane!$E$123+OutOfPlane!$F$123</f>
        <v/>
      </c>
      <c r="H123" s="3">
        <f>-OutOfPlane!$G$123*(OutOfPlane!$B$13-OutOfPlane!$B$14*(OutOfPlane!$D$123-OutOfPlane!$B$12))</f>
        <v/>
      </c>
    </row>
    <row r="124">
      <c r="A124" s="3">
        <f>Inputs!$A$177</f>
        <v/>
      </c>
      <c r="B124" s="3">
        <f>Loads!$B$258</f>
        <v/>
      </c>
      <c r="C124" s="3">
        <f>Loads!$D$258</f>
        <v/>
      </c>
      <c r="D124" s="3">
        <f>Loads!$E$258</f>
        <v/>
      </c>
      <c r="E124" s="3">
        <f>Loads!$H$258</f>
        <v/>
      </c>
      <c r="F124" s="3">
        <f>Loads!$L$258</f>
        <v/>
      </c>
      <c r="G124" s="3">
        <f>OutOfPlane!$E$124+OutOfPlane!$F$124</f>
        <v/>
      </c>
      <c r="H124" s="3">
        <f>-OutOfPlane!$G$124*(OutOfPlane!$B$13-OutOfPlane!$B$14*(OutOfPlane!$D$124-OutOfPlane!$B$12))</f>
        <v/>
      </c>
    </row>
    <row r="125">
      <c r="A125" s="3">
        <f>Inputs!$A$178</f>
        <v/>
      </c>
      <c r="B125" s="3">
        <f>Loads!$B$259</f>
        <v/>
      </c>
      <c r="C125" s="3">
        <f>Loads!$D$259</f>
        <v/>
      </c>
      <c r="D125" s="3">
        <f>Loads!$E$259</f>
        <v/>
      </c>
      <c r="E125" s="3">
        <f>Loads!$H$259</f>
        <v/>
      </c>
      <c r="F125" s="3">
        <f>Loads!$L$259</f>
        <v/>
      </c>
      <c r="G125" s="3">
        <f>OutOfPlane!$E$125+OutOfPlane!$F$125</f>
        <v/>
      </c>
      <c r="H125" s="3">
        <f>-OutOfPlane!$G$125*(OutOfPlane!$B$13-OutOfPlane!$B$14*(OutOfPlane!$D$125-OutOfPlane!$B$12))</f>
        <v/>
      </c>
    </row>
    <row r="126">
      <c r="A126" s="3">
        <f>Inputs!$A$179</f>
        <v/>
      </c>
      <c r="B126" s="3">
        <f>Loads!$B$260</f>
        <v/>
      </c>
      <c r="C126" s="3">
        <f>Loads!$D$260</f>
        <v/>
      </c>
      <c r="D126" s="3">
        <f>Loads!$E$260</f>
        <v/>
      </c>
      <c r="E126" s="3">
        <f>Loads!$H$260</f>
        <v/>
      </c>
      <c r="F126" s="3">
        <f>Loads!$L$260</f>
        <v/>
      </c>
      <c r="G126" s="3">
        <f>OutOfPlane!$E$126+OutOfPlane!$F$126</f>
        <v/>
      </c>
      <c r="H126" s="3">
        <f>-OutOfPlane!$G$126*(OutOfPlane!$B$13-OutOfPlane!$B$14*(OutOfPlane!$D$126-OutOfPlane!$B$12))</f>
        <v/>
      </c>
    </row>
    <row r="127">
      <c r="A127" s="3">
        <f>Inputs!$A$180</f>
        <v/>
      </c>
      <c r="B127" s="3">
        <f>Loads!$B$261</f>
        <v/>
      </c>
      <c r="C127" s="3">
        <f>Loads!$D$261</f>
        <v/>
      </c>
      <c r="D127" s="3">
        <f>Loads!$E$261</f>
        <v/>
      </c>
      <c r="E127" s="3">
        <f>Loads!$H$261</f>
        <v/>
      </c>
      <c r="F127" s="3">
        <f>Loads!$L$261</f>
        <v/>
      </c>
      <c r="G127" s="3">
        <f>OutOfPlane!$E$127+OutOfPlane!$F$127</f>
        <v/>
      </c>
      <c r="H127" s="3">
        <f>-OutOfPlane!$G$127*(OutOfPlane!$B$13-OutOfPlane!$B$14*(OutOfPlane!$D$127-OutOfPlane!$B$12))</f>
        <v/>
      </c>
    </row>
    <row r="128">
      <c r="A128" s="3">
        <f>Inputs!$A$181</f>
        <v/>
      </c>
      <c r="B128" s="3">
        <f>Loads!$B$262</f>
        <v/>
      </c>
      <c r="C128" s="3">
        <f>Loads!$D$262</f>
        <v/>
      </c>
      <c r="D128" s="3">
        <f>Loads!$E$262</f>
        <v/>
      </c>
      <c r="E128" s="3">
        <f>Loads!$H$262</f>
        <v/>
      </c>
      <c r="F128" s="3">
        <f>Loads!$L$262</f>
        <v/>
      </c>
      <c r="G128" s="3">
        <f>OutOfPlane!$E$128+OutOfPlane!$F$128</f>
        <v/>
      </c>
      <c r="H128" s="3">
        <f>-OutOfPlane!$G$128*(OutOfPlane!$B$13-OutOfPlane!$B$14*(OutOfPlane!$D$128-OutOfPlane!$B$12))</f>
        <v/>
      </c>
    </row>
    <row r="129">
      <c r="A129" s="3">
        <f>Inputs!$A$182</f>
        <v/>
      </c>
      <c r="B129" s="3">
        <f>Loads!$B$263</f>
        <v/>
      </c>
      <c r="C129" s="3">
        <f>Loads!$D$263</f>
        <v/>
      </c>
      <c r="D129" s="3">
        <f>Loads!$E$263</f>
        <v/>
      </c>
      <c r="E129" s="3">
        <f>Loads!$H$263</f>
        <v/>
      </c>
      <c r="F129" s="3">
        <f>Loads!$L$263</f>
        <v/>
      </c>
      <c r="G129" s="3">
        <f>OutOfPlane!$E$129+OutOfPlane!$F$129</f>
        <v/>
      </c>
      <c r="H129" s="3">
        <f>-OutOfPlane!$G$129*(OutOfPlane!$B$13-OutOfPlane!$B$14*(OutOfPlane!$D$129-OutOfPlane!$B$12))</f>
        <v/>
      </c>
    </row>
    <row r="130">
      <c r="A130" s="3">
        <f>Inputs!$A$183</f>
        <v/>
      </c>
      <c r="B130" s="3">
        <f>Loads!$B$264</f>
        <v/>
      </c>
      <c r="C130" s="3">
        <f>Loads!$D$264</f>
        <v/>
      </c>
      <c r="D130" s="3">
        <f>Loads!$E$264</f>
        <v/>
      </c>
      <c r="E130" s="3">
        <f>Loads!$H$264</f>
        <v/>
      </c>
      <c r="F130" s="3">
        <f>Loads!$L$264</f>
        <v/>
      </c>
      <c r="G130" s="3">
        <f>OutOfPlane!$E$130+OutOfPlane!$F$130</f>
        <v/>
      </c>
      <c r="H130" s="3">
        <f>-OutOfPlane!$G$130*(OutOfPlane!$B$13-OutOfPlane!$B$14*(OutOfPlane!$D$130-OutOfPlane!$B$12))</f>
        <v/>
      </c>
    </row>
    <row r="131">
      <c r="A131" s="3">
        <f>Inputs!$A$184</f>
        <v/>
      </c>
      <c r="B131" s="3">
        <f>Loads!$B$265</f>
        <v/>
      </c>
      <c r="C131" s="3">
        <f>Loads!$D$265</f>
        <v/>
      </c>
      <c r="D131" s="3">
        <f>Loads!$E$265</f>
        <v/>
      </c>
      <c r="E131" s="3">
        <f>Loads!$H$265</f>
        <v/>
      </c>
      <c r="F131" s="3">
        <f>Loads!$L$265</f>
        <v/>
      </c>
      <c r="G131" s="3">
        <f>OutOfPlane!$E$131+OutOfPlane!$F$131</f>
        <v/>
      </c>
      <c r="H131" s="3">
        <f>-OutOfPlane!$G$131*(OutOfPlane!$B$13-OutOfPlane!$B$14*(OutOfPlane!$D$131-OutOfPlane!$B$12))</f>
        <v/>
      </c>
    </row>
    <row r="132">
      <c r="A132" s="3">
        <f>Inputs!$A$185</f>
        <v/>
      </c>
      <c r="B132" s="3">
        <f>Loads!$B$266</f>
        <v/>
      </c>
      <c r="C132" s="3">
        <f>Loads!$D$266</f>
        <v/>
      </c>
      <c r="D132" s="3">
        <f>Loads!$E$266</f>
        <v/>
      </c>
      <c r="E132" s="3">
        <f>Loads!$H$266</f>
        <v/>
      </c>
      <c r="F132" s="3">
        <f>Loads!$L$266</f>
        <v/>
      </c>
      <c r="G132" s="3">
        <f>OutOfPlane!$E$132+OutOfPlane!$F$132</f>
        <v/>
      </c>
      <c r="H132" s="3">
        <f>-OutOfPlane!$G$132*(OutOfPlane!$B$13-OutOfPlane!$B$14*(OutOfPlane!$D$132-OutOfPlane!$B$12))</f>
        <v/>
      </c>
    </row>
    <row r="133">
      <c r="A133" s="3">
        <f>Inputs!$A$186</f>
        <v/>
      </c>
      <c r="B133" s="3">
        <f>Loads!$B$267</f>
        <v/>
      </c>
      <c r="C133" s="3">
        <f>Loads!$D$267</f>
        <v/>
      </c>
      <c r="D133" s="3">
        <f>Loads!$E$267</f>
        <v/>
      </c>
      <c r="E133" s="3">
        <f>Loads!$H$267</f>
        <v/>
      </c>
      <c r="F133" s="3">
        <f>Loads!$L$267</f>
        <v/>
      </c>
      <c r="G133" s="3">
        <f>OutOfPlane!$E$133+OutOfPlane!$F$133</f>
        <v/>
      </c>
      <c r="H133" s="3">
        <f>-OutOfPlane!$G$133*(OutOfPlane!$B$13-OutOfPlane!$B$14*(OutOfPlane!$D$133-OutOfPlane!$B$12))</f>
        <v/>
      </c>
    </row>
    <row r="134">
      <c r="A134" s="3">
        <f>Inputs!$A$187</f>
        <v/>
      </c>
      <c r="B134" s="3">
        <f>Loads!$B$268</f>
        <v/>
      </c>
      <c r="C134" s="3">
        <f>Loads!$D$268</f>
        <v/>
      </c>
      <c r="D134" s="3">
        <f>Loads!$E$268</f>
        <v/>
      </c>
      <c r="E134" s="3">
        <f>Loads!$H$268</f>
        <v/>
      </c>
      <c r="F134" s="3">
        <f>Loads!$L$268</f>
        <v/>
      </c>
      <c r="G134" s="3">
        <f>OutOfPlane!$E$134+OutOfPlane!$F$134</f>
        <v/>
      </c>
      <c r="H134" s="3">
        <f>-OutOfPlane!$G$134*(OutOfPlane!$B$13-OutOfPlane!$B$14*(OutOfPlane!$D$134-OutOfPlane!$B$12))</f>
        <v/>
      </c>
    </row>
    <row r="135">
      <c r="A135" s="3">
        <f>Inputs!$A$188</f>
        <v/>
      </c>
      <c r="B135" s="3">
        <f>Loads!$B$269</f>
        <v/>
      </c>
      <c r="C135" s="3">
        <f>Loads!$D$269</f>
        <v/>
      </c>
      <c r="D135" s="3">
        <f>Loads!$E$269</f>
        <v/>
      </c>
      <c r="E135" s="3">
        <f>Loads!$H$269</f>
        <v/>
      </c>
      <c r="F135" s="3">
        <f>Loads!$L$269</f>
        <v/>
      </c>
      <c r="G135" s="3">
        <f>OutOfPlane!$E$135+OutOfPlane!$F$135</f>
        <v/>
      </c>
      <c r="H135" s="3">
        <f>-OutOfPlane!$G$135*(OutOfPlane!$B$13-OutOfPlane!$B$14*(OutOfPlane!$D$135-OutOfPlane!$B$12))</f>
        <v/>
      </c>
    </row>
    <row r="136">
      <c r="A136" s="3">
        <f>Inputs!$A$189</f>
        <v/>
      </c>
      <c r="B136" s="3">
        <f>Loads!$B$270</f>
        <v/>
      </c>
      <c r="C136" s="3">
        <f>Loads!$D$270</f>
        <v/>
      </c>
      <c r="D136" s="3">
        <f>Loads!$E$270</f>
        <v/>
      </c>
      <c r="E136" s="3">
        <f>Loads!$H$270</f>
        <v/>
      </c>
      <c r="F136" s="3">
        <f>Loads!$L$270</f>
        <v/>
      </c>
      <c r="G136" s="3">
        <f>OutOfPlane!$E$136+OutOfPlane!$F$136</f>
        <v/>
      </c>
      <c r="H136" s="3">
        <f>-OutOfPlane!$G$136*(OutOfPlane!$B$13-OutOfPlane!$B$14*(OutOfPlane!$D$136-OutOfPlane!$B$12))</f>
        <v/>
      </c>
    </row>
    <row r="137">
      <c r="A137" s="3">
        <f>Inputs!$A$190</f>
        <v/>
      </c>
      <c r="B137" s="3">
        <f>Loads!$B$271</f>
        <v/>
      </c>
      <c r="C137" s="3">
        <f>Loads!$D$271</f>
        <v/>
      </c>
      <c r="D137" s="3">
        <f>Loads!$E$271</f>
        <v/>
      </c>
      <c r="E137" s="3">
        <f>Loads!$H$271</f>
        <v/>
      </c>
      <c r="F137" s="3">
        <f>Loads!$L$271</f>
        <v/>
      </c>
      <c r="G137" s="3">
        <f>OutOfPlane!$E$137+OutOfPlane!$F$137</f>
        <v/>
      </c>
      <c r="H137" s="3">
        <f>-OutOfPlane!$G$137*(OutOfPlane!$B$13-OutOfPlane!$B$14*(OutOfPlane!$D$137-OutOfPlane!$B$12))</f>
        <v/>
      </c>
    </row>
    <row r="138">
      <c r="A138" s="3">
        <f>Inputs!$A$191</f>
        <v/>
      </c>
      <c r="B138" s="3">
        <f>Loads!$B$272</f>
        <v/>
      </c>
      <c r="C138" s="3">
        <f>Loads!$D$272</f>
        <v/>
      </c>
      <c r="D138" s="3">
        <f>Loads!$E$272</f>
        <v/>
      </c>
      <c r="E138" s="3">
        <f>Loads!$H$272</f>
        <v/>
      </c>
      <c r="F138" s="3">
        <f>Loads!$L$272</f>
        <v/>
      </c>
      <c r="G138" s="3">
        <f>OutOfPlane!$E$138+OutOfPlane!$F$138</f>
        <v/>
      </c>
      <c r="H138" s="3">
        <f>-OutOfPlane!$G$138*(OutOfPlane!$B$13-OutOfPlane!$B$14*(OutOfPlane!$D$138-OutOfPlane!$B$12))</f>
        <v/>
      </c>
    </row>
    <row r="139">
      <c r="A139" s="3">
        <f>Inputs!$A$192</f>
        <v/>
      </c>
      <c r="B139" s="3">
        <f>Loads!$B$273</f>
        <v/>
      </c>
      <c r="C139" s="3">
        <f>Loads!$D$273</f>
        <v/>
      </c>
      <c r="D139" s="3">
        <f>Loads!$E$273</f>
        <v/>
      </c>
      <c r="E139" s="3">
        <f>Loads!$H$273</f>
        <v/>
      </c>
      <c r="F139" s="3">
        <f>Loads!$L$273</f>
        <v/>
      </c>
      <c r="G139" s="3">
        <f>OutOfPlane!$E$139+OutOfPlane!$F$139</f>
        <v/>
      </c>
      <c r="H139" s="3">
        <f>-OutOfPlane!$G$139*(OutOfPlane!$B$13-OutOfPlane!$B$14*(OutOfPlane!$D$139-OutOfPlane!$B$12))</f>
        <v/>
      </c>
    </row>
    <row r="140">
      <c r="A140" s="3">
        <f>Inputs!$A$193</f>
        <v/>
      </c>
      <c r="B140" s="3">
        <f>Loads!$B$274</f>
        <v/>
      </c>
      <c r="C140" s="3">
        <f>Loads!$D$274</f>
        <v/>
      </c>
      <c r="D140" s="3">
        <f>Loads!$E$274</f>
        <v/>
      </c>
      <c r="E140" s="3">
        <f>Loads!$H$274</f>
        <v/>
      </c>
      <c r="F140" s="3">
        <f>Loads!$L$274</f>
        <v/>
      </c>
      <c r="G140" s="3">
        <f>OutOfPlane!$E$140+OutOfPlane!$F$140</f>
        <v/>
      </c>
      <c r="H140" s="3">
        <f>-OutOfPlane!$G$140*(OutOfPlane!$B$13-OutOfPlane!$B$14*(OutOfPlane!$D$140-OutOfPlane!$B$12))</f>
        <v/>
      </c>
    </row>
    <row r="141">
      <c r="A141" s="3">
        <f>Inputs!$A$194</f>
        <v/>
      </c>
      <c r="B141" s="3">
        <f>Loads!$B$275</f>
        <v/>
      </c>
      <c r="C141" s="3">
        <f>Loads!$D$275</f>
        <v/>
      </c>
      <c r="D141" s="3">
        <f>Loads!$E$275</f>
        <v/>
      </c>
      <c r="E141" s="3">
        <f>Loads!$H$275</f>
        <v/>
      </c>
      <c r="F141" s="3">
        <f>Loads!$L$275</f>
        <v/>
      </c>
      <c r="G141" s="3">
        <f>OutOfPlane!$E$141+OutOfPlane!$F$141</f>
        <v/>
      </c>
      <c r="H141" s="3">
        <f>-OutOfPlane!$G$141*(OutOfPlane!$B$13-OutOfPlane!$B$14*(OutOfPlane!$D$141-OutOfPlane!$B$12))</f>
        <v/>
      </c>
    </row>
    <row r="142">
      <c r="A142" s="3">
        <f>Inputs!$A$195</f>
        <v/>
      </c>
      <c r="B142" s="3">
        <f>Loads!$B$276</f>
        <v/>
      </c>
      <c r="C142" s="3">
        <f>Loads!$D$276</f>
        <v/>
      </c>
      <c r="D142" s="3">
        <f>Loads!$E$276</f>
        <v/>
      </c>
      <c r="E142" s="3">
        <f>Loads!$H$276</f>
        <v/>
      </c>
      <c r="F142" s="3">
        <f>Loads!$L$276</f>
        <v/>
      </c>
      <c r="G142" s="3">
        <f>OutOfPlane!$E$142+OutOfPlane!$F$142</f>
        <v/>
      </c>
      <c r="H142" s="3">
        <f>-OutOfPlane!$G$142*(OutOfPlane!$B$13-OutOfPlane!$B$14*(OutOfPlane!$D$142-OutOfPlane!$B$12))</f>
        <v/>
      </c>
    </row>
    <row r="143">
      <c r="A143" s="3">
        <f>Inputs!$A$196</f>
        <v/>
      </c>
      <c r="B143" s="3">
        <f>Loads!$B$277</f>
        <v/>
      </c>
      <c r="C143" s="3">
        <f>Loads!$D$277</f>
        <v/>
      </c>
      <c r="D143" s="3">
        <f>Loads!$E$277</f>
        <v/>
      </c>
      <c r="E143" s="3">
        <f>Loads!$H$277</f>
        <v/>
      </c>
      <c r="F143" s="3">
        <f>Loads!$L$277</f>
        <v/>
      </c>
      <c r="G143" s="3">
        <f>OutOfPlane!$E$143+OutOfPlane!$F$143</f>
        <v/>
      </c>
      <c r="H143" s="3">
        <f>-OutOfPlane!$G$143*(OutOfPlane!$B$13-OutOfPlane!$B$14*(OutOfPlane!$D$143-OutOfPlane!$B$12))</f>
        <v/>
      </c>
    </row>
    <row r="144">
      <c r="A144" s="3">
        <f>Inputs!$A$197</f>
        <v/>
      </c>
      <c r="B144" s="3">
        <f>Loads!$B$278</f>
        <v/>
      </c>
      <c r="C144" s="3">
        <f>Loads!$D$278</f>
        <v/>
      </c>
      <c r="D144" s="3">
        <f>Loads!$E$278</f>
        <v/>
      </c>
      <c r="E144" s="3">
        <f>Loads!$H$278</f>
        <v/>
      </c>
      <c r="F144" s="3">
        <f>Loads!$L$278</f>
        <v/>
      </c>
      <c r="G144" s="3">
        <f>OutOfPlane!$E$144+OutOfPlane!$F$144</f>
        <v/>
      </c>
      <c r="H144" s="3">
        <f>-OutOfPlane!$G$144*(OutOfPlane!$B$13-OutOfPlane!$B$14*(OutOfPlane!$D$144-OutOfPlane!$B$12))</f>
        <v/>
      </c>
    </row>
    <row r="145">
      <c r="A145" s="3">
        <f>Inputs!$A$198</f>
        <v/>
      </c>
      <c r="B145" s="3">
        <f>Loads!$B$279</f>
        <v/>
      </c>
      <c r="C145" s="3">
        <f>Loads!$D$279</f>
        <v/>
      </c>
      <c r="D145" s="3">
        <f>Loads!$E$279</f>
        <v/>
      </c>
      <c r="E145" s="3">
        <f>Loads!$H$279</f>
        <v/>
      </c>
      <c r="F145" s="3">
        <f>Loads!$L$279</f>
        <v/>
      </c>
      <c r="G145" s="3">
        <f>OutOfPlane!$E$145+OutOfPlane!$F$145</f>
        <v/>
      </c>
      <c r="H145" s="3">
        <f>-OutOfPlane!$G$145*(OutOfPlane!$B$13-OutOfPlane!$B$14*(OutOfPlane!$D$145-OutOfPlane!$B$12))</f>
        <v/>
      </c>
    </row>
    <row r="146">
      <c r="A146" s="3">
        <f>Inputs!$A$199</f>
        <v/>
      </c>
      <c r="B146" s="3">
        <f>Loads!$B$280</f>
        <v/>
      </c>
      <c r="C146" s="3">
        <f>Loads!$D$280</f>
        <v/>
      </c>
      <c r="D146" s="3">
        <f>Loads!$E$280</f>
        <v/>
      </c>
      <c r="E146" s="3">
        <f>Loads!$H$280</f>
        <v/>
      </c>
      <c r="F146" s="3">
        <f>Loads!$L$280</f>
        <v/>
      </c>
      <c r="G146" s="3">
        <f>OutOfPlane!$E$146+OutOfPlane!$F$146</f>
        <v/>
      </c>
      <c r="H146" s="3">
        <f>-OutOfPlane!$G$146*(OutOfPlane!$B$13-OutOfPlane!$B$14*(OutOfPlane!$D$146-OutOfPlane!$B$12))</f>
        <v/>
      </c>
    </row>
    <row r="147">
      <c r="A147" s="3">
        <f>Inputs!$A$200</f>
        <v/>
      </c>
      <c r="B147" s="3">
        <f>Loads!$B$281</f>
        <v/>
      </c>
      <c r="C147" s="3">
        <f>Loads!$D$281</f>
        <v/>
      </c>
      <c r="D147" s="3">
        <f>Loads!$E$281</f>
        <v/>
      </c>
      <c r="E147" s="3">
        <f>Loads!$H$281</f>
        <v/>
      </c>
      <c r="F147" s="3">
        <f>Loads!$L$281</f>
        <v/>
      </c>
      <c r="G147" s="3">
        <f>OutOfPlane!$E$147+OutOfPlane!$F$147</f>
        <v/>
      </c>
      <c r="H147" s="3">
        <f>-OutOfPlane!$G$147*(OutOfPlane!$B$13-OutOfPlane!$B$14*(OutOfPlane!$D$147-OutOfPlane!$B$12))</f>
        <v/>
      </c>
    </row>
    <row r="148">
      <c r="A148" s="3">
        <f>Inputs!$A$201</f>
        <v/>
      </c>
      <c r="B148" s="3">
        <f>Loads!$B$282</f>
        <v/>
      </c>
      <c r="C148" s="3">
        <f>Loads!$D$282</f>
        <v/>
      </c>
      <c r="D148" s="3">
        <f>Loads!$E$282</f>
        <v/>
      </c>
      <c r="E148" s="3">
        <f>Loads!$H$282</f>
        <v/>
      </c>
      <c r="F148" s="3">
        <f>Loads!$L$282</f>
        <v/>
      </c>
      <c r="G148" s="3">
        <f>OutOfPlane!$E$148+OutOfPlane!$F$148</f>
        <v/>
      </c>
      <c r="H148" s="3">
        <f>-OutOfPlane!$G$148*(OutOfPlane!$B$13-OutOfPlane!$B$14*(OutOfPlane!$D$148-OutOfPlane!$B$12))</f>
        <v/>
      </c>
    </row>
    <row r="149">
      <c r="A149" s="3">
        <f>Inputs!$A$202</f>
        <v/>
      </c>
      <c r="B149" s="3">
        <f>Loads!$B$283</f>
        <v/>
      </c>
      <c r="C149" s="3">
        <f>Loads!$D$283</f>
        <v/>
      </c>
      <c r="D149" s="3">
        <f>Loads!$E$283</f>
        <v/>
      </c>
      <c r="E149" s="3">
        <f>Loads!$H$283</f>
        <v/>
      </c>
      <c r="F149" s="3">
        <f>Loads!$L$283</f>
        <v/>
      </c>
      <c r="G149" s="3">
        <f>OutOfPlane!$E$149+OutOfPlane!$F$149</f>
        <v/>
      </c>
      <c r="H149" s="3">
        <f>-OutOfPlane!$G$149*(OutOfPlane!$B$13-OutOfPlane!$B$14*(OutOfPlane!$D$149-OutOfPlane!$B$12))</f>
        <v/>
      </c>
    </row>
    <row r="150">
      <c r="A150" s="3">
        <f>Inputs!$A$203</f>
        <v/>
      </c>
      <c r="B150" s="3">
        <f>Loads!$B$284</f>
        <v/>
      </c>
      <c r="C150" s="3">
        <f>Loads!$D$284</f>
        <v/>
      </c>
      <c r="D150" s="3">
        <f>Loads!$E$284</f>
        <v/>
      </c>
      <c r="E150" s="3">
        <f>Loads!$H$284</f>
        <v/>
      </c>
      <c r="F150" s="3">
        <f>Loads!$L$284</f>
        <v/>
      </c>
      <c r="G150" s="3">
        <f>OutOfPlane!$E$150+OutOfPlane!$F$150</f>
        <v/>
      </c>
      <c r="H150" s="3">
        <f>-OutOfPlane!$G$150*(OutOfPlane!$B$13-OutOfPlane!$B$14*(OutOfPlane!$D$150-OutOfPlane!$B$12))</f>
        <v/>
      </c>
    </row>
    <row r="151">
      <c r="A151" s="3">
        <f>Inputs!$A$204</f>
        <v/>
      </c>
      <c r="B151" s="3">
        <f>Loads!$B$285</f>
        <v/>
      </c>
      <c r="C151" s="3">
        <f>Loads!$D$285</f>
        <v/>
      </c>
      <c r="D151" s="3">
        <f>Loads!$E$285</f>
        <v/>
      </c>
      <c r="E151" s="3">
        <f>Loads!$H$285</f>
        <v/>
      </c>
      <c r="F151" s="3">
        <f>Loads!$L$285</f>
        <v/>
      </c>
      <c r="G151" s="3">
        <f>OutOfPlane!$E$151+OutOfPlane!$F$151</f>
        <v/>
      </c>
      <c r="H151" s="3">
        <f>-OutOfPlane!$G$151*(OutOfPlane!$B$13-OutOfPlane!$B$14*(OutOfPlane!$D$151-OutOfPlane!$B$12))</f>
        <v/>
      </c>
    </row>
    <row r="152">
      <c r="A152" s="3">
        <f>Inputs!$A$205</f>
        <v/>
      </c>
      <c r="B152" s="3">
        <f>Loads!$B$286</f>
        <v/>
      </c>
      <c r="C152" s="3">
        <f>Loads!$D$286</f>
        <v/>
      </c>
      <c r="D152" s="3">
        <f>Loads!$E$286</f>
        <v/>
      </c>
      <c r="E152" s="3">
        <f>Loads!$H$286</f>
        <v/>
      </c>
      <c r="F152" s="3">
        <f>Loads!$L$286</f>
        <v/>
      </c>
      <c r="G152" s="3">
        <f>OutOfPlane!$E$152+OutOfPlane!$F$152</f>
        <v/>
      </c>
      <c r="H152" s="3">
        <f>-OutOfPlane!$G$152*(OutOfPlane!$B$13-OutOfPlane!$B$14*(OutOfPlane!$D$152-OutOfPlane!$B$12))</f>
        <v/>
      </c>
    </row>
    <row r="153">
      <c r="A153" s="3">
        <f>Inputs!$A$206</f>
        <v/>
      </c>
      <c r="B153" s="3">
        <f>Loads!$B$287</f>
        <v/>
      </c>
      <c r="C153" s="3">
        <f>Loads!$D$287</f>
        <v/>
      </c>
      <c r="D153" s="3">
        <f>Loads!$E$287</f>
        <v/>
      </c>
      <c r="E153" s="3">
        <f>Loads!$H$287</f>
        <v/>
      </c>
      <c r="F153" s="3">
        <f>Loads!$L$287</f>
        <v/>
      </c>
      <c r="G153" s="3">
        <f>OutOfPlane!$E$153+OutOfPlane!$F$153</f>
        <v/>
      </c>
      <c r="H153" s="3">
        <f>-OutOfPlane!$G$153*(OutOfPlane!$B$13-OutOfPlane!$B$14*(OutOfPlane!$D$153-OutOfPlane!$B$12))</f>
        <v/>
      </c>
    </row>
    <row r="154">
      <c r="A154" s="3">
        <f>Inputs!$A$207</f>
        <v/>
      </c>
      <c r="B154" s="3">
        <f>Loads!$B$288</f>
        <v/>
      </c>
      <c r="C154" s="3">
        <f>Loads!$D$288</f>
        <v/>
      </c>
      <c r="D154" s="3">
        <f>Loads!$E$288</f>
        <v/>
      </c>
      <c r="E154" s="3">
        <f>Loads!$H$288</f>
        <v/>
      </c>
      <c r="F154" s="3">
        <f>Loads!$L$288</f>
        <v/>
      </c>
      <c r="G154" s="3">
        <f>OutOfPlane!$E$154+OutOfPlane!$F$154</f>
        <v/>
      </c>
      <c r="H154" s="3">
        <f>-OutOfPlane!$G$154*(OutOfPlane!$B$13-OutOfPlane!$B$14*(OutOfPlane!$D$154-OutOfPlane!$B$12))</f>
        <v/>
      </c>
    </row>
    <row r="155">
      <c r="A155" s="3">
        <f>Inputs!$A$208</f>
        <v/>
      </c>
      <c r="B155" s="3">
        <f>Loads!$B$289</f>
        <v/>
      </c>
      <c r="C155" s="3">
        <f>Loads!$D$289</f>
        <v/>
      </c>
      <c r="D155" s="3">
        <f>Loads!$E$289</f>
        <v/>
      </c>
      <c r="E155" s="3">
        <f>Loads!$H$289</f>
        <v/>
      </c>
      <c r="F155" s="3">
        <f>Loads!$L$289</f>
        <v/>
      </c>
      <c r="G155" s="3">
        <f>OutOfPlane!$E$155+OutOfPlane!$F$155</f>
        <v/>
      </c>
      <c r="H155" s="3">
        <f>-OutOfPlane!$G$155*(OutOfPlane!$B$13-OutOfPlane!$B$14*(OutOfPlane!$D$155-OutOfPlane!$B$12))</f>
        <v/>
      </c>
    </row>
    <row r="156">
      <c r="A156" s="3">
        <f>Inputs!$A$209</f>
        <v/>
      </c>
      <c r="B156" s="3">
        <f>Loads!$B$290</f>
        <v/>
      </c>
      <c r="C156" s="3">
        <f>Loads!$D$290</f>
        <v/>
      </c>
      <c r="D156" s="3">
        <f>Loads!$E$290</f>
        <v/>
      </c>
      <c r="E156" s="3">
        <f>Loads!$H$290</f>
        <v/>
      </c>
      <c r="F156" s="3">
        <f>Loads!$L$290</f>
        <v/>
      </c>
      <c r="G156" s="3">
        <f>OutOfPlane!$E$156+OutOfPlane!$F$156</f>
        <v/>
      </c>
      <c r="H156" s="3">
        <f>-OutOfPlane!$G$156*(OutOfPlane!$B$13-OutOfPlane!$B$14*(OutOfPlane!$D$156-OutOfPlane!$B$12))</f>
        <v/>
      </c>
    </row>
    <row r="157">
      <c r="A157" s="3">
        <f>Inputs!$A$210</f>
        <v/>
      </c>
      <c r="B157" s="3">
        <f>Loads!$B$291</f>
        <v/>
      </c>
      <c r="C157" s="3">
        <f>Loads!$D$291</f>
        <v/>
      </c>
      <c r="D157" s="3">
        <f>Loads!$E$291</f>
        <v/>
      </c>
      <c r="E157" s="3">
        <f>Loads!$H$291</f>
        <v/>
      </c>
      <c r="F157" s="3">
        <f>Loads!$L$291</f>
        <v/>
      </c>
      <c r="G157" s="3">
        <f>OutOfPlane!$E$157+OutOfPlane!$F$157</f>
        <v/>
      </c>
      <c r="H157" s="3">
        <f>-OutOfPlane!$G$157*(OutOfPlane!$B$13-OutOfPlane!$B$14*(OutOfPlane!$D$157-OutOfPlane!$B$12))</f>
        <v/>
      </c>
    </row>
    <row r="158">
      <c r="A158" s="3">
        <f>Inputs!$A$211</f>
        <v/>
      </c>
      <c r="B158" s="3">
        <f>Loads!$B$292</f>
        <v/>
      </c>
      <c r="C158" s="3">
        <f>Loads!$D$292</f>
        <v/>
      </c>
      <c r="D158" s="3">
        <f>Loads!$E$292</f>
        <v/>
      </c>
      <c r="E158" s="3">
        <f>Loads!$H$292</f>
        <v/>
      </c>
      <c r="F158" s="3">
        <f>Loads!$L$292</f>
        <v/>
      </c>
      <c r="G158" s="3">
        <f>OutOfPlane!$E$158+OutOfPlane!$F$158</f>
        <v/>
      </c>
      <c r="H158" s="3">
        <f>-OutOfPlane!$G$158*(OutOfPlane!$B$13-OutOfPlane!$B$14*(OutOfPlane!$D$158-OutOfPlane!$B$12))</f>
        <v/>
      </c>
    </row>
    <row r="159">
      <c r="A159" s="3">
        <f>Inputs!$A$212</f>
        <v/>
      </c>
      <c r="B159" s="3">
        <f>Loads!$B$293</f>
        <v/>
      </c>
      <c r="C159" s="3">
        <f>Loads!$D$293</f>
        <v/>
      </c>
      <c r="D159" s="3">
        <f>Loads!$E$293</f>
        <v/>
      </c>
      <c r="E159" s="3">
        <f>Loads!$H$293</f>
        <v/>
      </c>
      <c r="F159" s="3">
        <f>Loads!$L$293</f>
        <v/>
      </c>
      <c r="G159" s="3">
        <f>OutOfPlane!$E$159+OutOfPlane!$F$159</f>
        <v/>
      </c>
      <c r="H159" s="3">
        <f>-OutOfPlane!$G$159*(OutOfPlane!$B$13-OutOfPlane!$B$14*(OutOfPlane!$D$159-OutOfPlane!$B$12))</f>
        <v/>
      </c>
    </row>
    <row r="160">
      <c r="A160" s="3">
        <f>Inputs!$A$213</f>
        <v/>
      </c>
      <c r="B160" s="3">
        <f>Loads!$B$294</f>
        <v/>
      </c>
      <c r="C160" s="3">
        <f>Loads!$D$294</f>
        <v/>
      </c>
      <c r="D160" s="3">
        <f>Loads!$E$294</f>
        <v/>
      </c>
      <c r="E160" s="3">
        <f>Loads!$H$294</f>
        <v/>
      </c>
      <c r="F160" s="3">
        <f>Loads!$L$294</f>
        <v/>
      </c>
      <c r="G160" s="3">
        <f>OutOfPlane!$E$160+OutOfPlane!$F$160</f>
        <v/>
      </c>
      <c r="H160" s="3">
        <f>-OutOfPlane!$G$160*(OutOfPlane!$B$13-OutOfPlane!$B$14*(OutOfPlane!$D$160-OutOfPlane!$B$12))</f>
        <v/>
      </c>
    </row>
    <row r="161">
      <c r="A161" s="3">
        <f>Inputs!$A$214</f>
        <v/>
      </c>
      <c r="B161" s="3">
        <f>Loads!$B$295</f>
        <v/>
      </c>
      <c r="C161" s="3">
        <f>Loads!$D$295</f>
        <v/>
      </c>
      <c r="D161" s="3">
        <f>Loads!$E$295</f>
        <v/>
      </c>
      <c r="E161" s="3">
        <f>Loads!$H$295</f>
        <v/>
      </c>
      <c r="F161" s="3">
        <f>Loads!$L$295</f>
        <v/>
      </c>
      <c r="G161" s="3">
        <f>OutOfPlane!$E$161+OutOfPlane!$F$161</f>
        <v/>
      </c>
      <c r="H161" s="3">
        <f>-OutOfPlane!$G$161*(OutOfPlane!$B$13-OutOfPlane!$B$14*(OutOfPlane!$D$161-OutOfPlane!$B$12))</f>
        <v/>
      </c>
    </row>
    <row r="162">
      <c r="A162" s="3">
        <f>Inputs!$A$215</f>
        <v/>
      </c>
      <c r="B162" s="3">
        <f>Loads!$B$296</f>
        <v/>
      </c>
      <c r="C162" s="3">
        <f>Loads!$D$296</f>
        <v/>
      </c>
      <c r="D162" s="3">
        <f>Loads!$E$296</f>
        <v/>
      </c>
      <c r="E162" s="3">
        <f>Loads!$H$296</f>
        <v/>
      </c>
      <c r="F162" s="3">
        <f>Loads!$L$296</f>
        <v/>
      </c>
      <c r="G162" s="3">
        <f>OutOfPlane!$E$162+OutOfPlane!$F$162</f>
        <v/>
      </c>
      <c r="H162" s="3">
        <f>-OutOfPlane!$G$162*(OutOfPlane!$B$13-OutOfPlane!$B$14*(OutOfPlane!$D$162-OutOfPlane!$B$12))</f>
        <v/>
      </c>
    </row>
    <row r="163">
      <c r="A163" s="3">
        <f>Inputs!$A$216</f>
        <v/>
      </c>
      <c r="B163" s="3">
        <f>Loads!$B$297</f>
        <v/>
      </c>
      <c r="C163" s="3">
        <f>Loads!$D$297</f>
        <v/>
      </c>
      <c r="D163" s="3">
        <f>Loads!$E$297</f>
        <v/>
      </c>
      <c r="E163" s="3">
        <f>Loads!$H$297</f>
        <v/>
      </c>
      <c r="F163" s="3">
        <f>Loads!$L$297</f>
        <v/>
      </c>
      <c r="G163" s="3">
        <f>OutOfPlane!$E$163+OutOfPlane!$F$163</f>
        <v/>
      </c>
      <c r="H163" s="3">
        <f>-OutOfPlane!$G$163*(OutOfPlane!$B$13-OutOfPlane!$B$14*(OutOfPlane!$D$163-OutOfPlane!$B$12))</f>
        <v/>
      </c>
    </row>
    <row r="164">
      <c r="A164" s="3">
        <f>Inputs!$A$217</f>
        <v/>
      </c>
      <c r="B164" s="3">
        <f>Loads!$B$298</f>
        <v/>
      </c>
      <c r="C164" s="3">
        <f>Loads!$D$298</f>
        <v/>
      </c>
      <c r="D164" s="3">
        <f>Loads!$E$298</f>
        <v/>
      </c>
      <c r="E164" s="3">
        <f>Loads!$H$298</f>
        <v/>
      </c>
      <c r="F164" s="3">
        <f>Loads!$L$298</f>
        <v/>
      </c>
      <c r="G164" s="3">
        <f>OutOfPlane!$E$164+OutOfPlane!$F$164</f>
        <v/>
      </c>
      <c r="H164" s="3">
        <f>-OutOfPlane!$G$164*(OutOfPlane!$B$13-OutOfPlane!$B$14*(OutOfPlane!$D$164-OutOfPlane!$B$12))</f>
        <v/>
      </c>
    </row>
    <row r="168">
      <c r="A168" s="6" t="inlineStr">
        <is>
          <t>Wind areas, Y wind (row i = Inputs wind areas row i)</t>
        </is>
      </c>
    </row>
    <row r="169">
      <c r="A169" s="8" t="inlineStr">
        <is>
          <t>Active [1/0]</t>
        </is>
      </c>
      <c r="B169" s="8" t="inlineStr">
        <is>
          <t>Body</t>
        </is>
      </c>
      <c r="C169" s="8" t="inlineStr">
        <is>
          <t>Frame</t>
        </is>
      </c>
      <c r="D169" s="8" t="inlineStr">
        <is>
          <t>x global [m]</t>
        </is>
      </c>
      <c r="E169" s="8" t="inlineStr">
        <is>
          <t>z global [m]</t>
        </is>
      </c>
      <c r="F169" s="8" t="inlineStr">
        <is>
          <t>Cd</t>
        </is>
      </c>
      <c r="G169" s="8" t="inlineStr">
        <is>
          <t>Area for Y wind [m^2]</t>
        </is>
      </c>
      <c r="H169" s="8" t="inlineStr">
        <is>
          <t>Area scale</t>
        </is>
      </c>
      <c r="I169" s="8" t="inlineStr">
        <is>
          <t>Wind Fy = sign q Cd A_y scale [kN]</t>
        </is>
      </c>
    </row>
    <row r="170">
      <c r="A170" s="7" t="inlineStr">
        <is>
          <t>active (from Inputs)</t>
        </is>
      </c>
      <c r="B170" s="7" t="inlineStr">
        <is>
          <t>body</t>
        </is>
      </c>
      <c r="C170" s="7" t="inlineStr">
        <is>
          <t>frame</t>
        </is>
      </c>
      <c r="D170" s="7" t="inlineStr">
        <is>
          <t>x_m (Loads)</t>
        </is>
      </c>
      <c r="E170" s="7" t="inlineStr">
        <is>
          <t>z_m (Loads)</t>
        </is>
      </c>
      <c r="F170" s="7" t="inlineStr">
        <is>
          <t>cd</t>
        </is>
      </c>
      <c r="G170" s="7" t="inlineStr">
        <is>
          <t>area_y_m2</t>
        </is>
      </c>
      <c r="H170" s="7" t="inlineStr">
        <is>
          <t>scale (|sin(boom angle)| if boom-local, else 1)</t>
        </is>
      </c>
      <c r="I170" s="7" t="inlineStr">
        <is>
          <t>fy_kN</t>
        </is>
      </c>
    </row>
    <row r="171">
      <c r="A171" s="3">
        <f>Inputs!$A$92</f>
        <v/>
      </c>
      <c r="B171" s="3">
        <f>Loads!$B$79</f>
        <v/>
      </c>
      <c r="C171" s="3">
        <f>IF(OutOfPlane!$A$171=1,Inputs!$D$92&amp;"","")</f>
        <v/>
      </c>
      <c r="D171" s="3">
        <f>Loads!$C$79</f>
        <v/>
      </c>
      <c r="E171" s="3">
        <f>Loads!$D$79</f>
        <v/>
      </c>
      <c r="F171" s="3">
        <f>IF(OutOfPlane!$A$171=1,Inputs!$E$92+0,0)</f>
        <v/>
      </c>
      <c r="G171" s="3">
        <f>IF(OutOfPlane!$A$171=1,Inputs!$G$92+0,0)</f>
        <v/>
      </c>
      <c r="H171" s="3">
        <f>IF(OutOfPlane!$A$171=1,IF(OutOfPlane!$C$171="boom_local",OutOfPlane!$B$17,1),0)</f>
        <v/>
      </c>
      <c r="I171" s="3">
        <f>OutOfPlane!$B$15*OutOfPlane!$B$16*OutOfPlane!$F$171*OutOfPlane!$G$171*OutOfPlane!$H$171</f>
        <v/>
      </c>
    </row>
    <row r="172">
      <c r="A172" s="3">
        <f>Inputs!$A$93</f>
        <v/>
      </c>
      <c r="B172" s="3">
        <f>Loads!$B$80</f>
        <v/>
      </c>
      <c r="C172" s="3">
        <f>IF(OutOfPlane!$A$172=1,Inputs!$D$93&amp;"","")</f>
        <v/>
      </c>
      <c r="D172" s="3">
        <f>Loads!$C$80</f>
        <v/>
      </c>
      <c r="E172" s="3">
        <f>Loads!$D$80</f>
        <v/>
      </c>
      <c r="F172" s="3">
        <f>IF(OutOfPlane!$A$172=1,Inputs!$E$93+0,0)</f>
        <v/>
      </c>
      <c r="G172" s="3">
        <f>IF(OutOfPlane!$A$172=1,Inputs!$G$93+0,0)</f>
        <v/>
      </c>
      <c r="H172" s="3">
        <f>IF(OutOfPlane!$A$172=1,IF(OutOfPlane!$C$172="boom_local",OutOfPlane!$B$17,1),0)</f>
        <v/>
      </c>
      <c r="I172" s="3">
        <f>OutOfPlane!$B$15*OutOfPlane!$B$16*OutOfPlane!$F$172*OutOfPlane!$G$172*OutOfPlane!$H$172</f>
        <v/>
      </c>
    </row>
    <row r="173">
      <c r="A173" s="3">
        <f>Inputs!$A$94</f>
        <v/>
      </c>
      <c r="B173" s="3">
        <f>Loads!$B$81</f>
        <v/>
      </c>
      <c r="C173" s="3">
        <f>IF(OutOfPlane!$A$173=1,Inputs!$D$94&amp;"","")</f>
        <v/>
      </c>
      <c r="D173" s="3">
        <f>Loads!$C$81</f>
        <v/>
      </c>
      <c r="E173" s="3">
        <f>Loads!$D$81</f>
        <v/>
      </c>
      <c r="F173" s="3">
        <f>IF(OutOfPlane!$A$173=1,Inputs!$E$94+0,0)</f>
        <v/>
      </c>
      <c r="G173" s="3">
        <f>IF(OutOfPlane!$A$173=1,Inputs!$G$94+0,0)</f>
        <v/>
      </c>
      <c r="H173" s="3">
        <f>IF(OutOfPlane!$A$173=1,IF(OutOfPlane!$C$173="boom_local",OutOfPlane!$B$17,1),0)</f>
        <v/>
      </c>
      <c r="I173" s="3">
        <f>OutOfPlane!$B$15*OutOfPlane!$B$16*OutOfPlane!$F$173*OutOfPlane!$G$173*OutOfPlane!$H$173</f>
        <v/>
      </c>
    </row>
    <row r="174">
      <c r="A174" s="3">
        <f>Inputs!$A$95</f>
        <v/>
      </c>
      <c r="B174" s="3">
        <f>Loads!$B$82</f>
        <v/>
      </c>
      <c r="C174" s="3">
        <f>IF(OutOfPlane!$A$174=1,Inputs!$D$95&amp;"","")</f>
        <v/>
      </c>
      <c r="D174" s="3">
        <f>Loads!$C$82</f>
        <v/>
      </c>
      <c r="E174" s="3">
        <f>Loads!$D$82</f>
        <v/>
      </c>
      <c r="F174" s="3">
        <f>IF(OutOfPlane!$A$174=1,Inputs!$E$95+0,0)</f>
        <v/>
      </c>
      <c r="G174" s="3">
        <f>IF(OutOfPlane!$A$174=1,Inputs!$G$95+0,0)</f>
        <v/>
      </c>
      <c r="H174" s="3">
        <f>IF(OutOfPlane!$A$174=1,IF(OutOfPlane!$C$174="boom_local",OutOfPlane!$B$17,1),0)</f>
        <v/>
      </c>
      <c r="I174" s="3">
        <f>OutOfPlane!$B$15*OutOfPlane!$B$16*OutOfPlane!$F$174*OutOfPlane!$G$174*OutOfPlane!$H$174</f>
        <v/>
      </c>
    </row>
    <row r="175">
      <c r="A175" s="3">
        <f>Inputs!$A$96</f>
        <v/>
      </c>
      <c r="B175" s="3">
        <f>Loads!$B$83</f>
        <v/>
      </c>
      <c r="C175" s="3">
        <f>IF(OutOfPlane!$A$175=1,Inputs!$D$96&amp;"","")</f>
        <v/>
      </c>
      <c r="D175" s="3">
        <f>Loads!$C$83</f>
        <v/>
      </c>
      <c r="E175" s="3">
        <f>Loads!$D$83</f>
        <v/>
      </c>
      <c r="F175" s="3">
        <f>IF(OutOfPlane!$A$175=1,Inputs!$E$96+0,0)</f>
        <v/>
      </c>
      <c r="G175" s="3">
        <f>IF(OutOfPlane!$A$175=1,Inputs!$G$96+0,0)</f>
        <v/>
      </c>
      <c r="H175" s="3">
        <f>IF(OutOfPlane!$A$175=1,IF(OutOfPlane!$C$175="boom_local",OutOfPlane!$B$17,1),0)</f>
        <v/>
      </c>
      <c r="I175" s="3">
        <f>OutOfPlane!$B$15*OutOfPlane!$B$16*OutOfPlane!$F$175*OutOfPlane!$G$175*OutOfPlane!$H$175</f>
        <v/>
      </c>
    </row>
    <row r="176">
      <c r="A176" s="3">
        <f>Inputs!$A$97</f>
        <v/>
      </c>
      <c r="B176" s="3">
        <f>Loads!$B$84</f>
        <v/>
      </c>
      <c r="C176" s="3">
        <f>IF(OutOfPlane!$A$176=1,Inputs!$D$97&amp;"","")</f>
        <v/>
      </c>
      <c r="D176" s="3">
        <f>Loads!$C$84</f>
        <v/>
      </c>
      <c r="E176" s="3">
        <f>Loads!$D$84</f>
        <v/>
      </c>
      <c r="F176" s="3">
        <f>IF(OutOfPlane!$A$176=1,Inputs!$E$97+0,0)</f>
        <v/>
      </c>
      <c r="G176" s="3">
        <f>IF(OutOfPlane!$A$176=1,Inputs!$G$97+0,0)</f>
        <v/>
      </c>
      <c r="H176" s="3">
        <f>IF(OutOfPlane!$A$176=1,IF(OutOfPlane!$C$176="boom_local",OutOfPlane!$B$17,1),0)</f>
        <v/>
      </c>
      <c r="I176" s="3">
        <f>OutOfPlane!$B$15*OutOfPlane!$B$16*OutOfPlane!$F$176*OutOfPlane!$G$176*OutOfPlane!$H$176</f>
        <v/>
      </c>
    </row>
    <row r="177">
      <c r="A177" s="3">
        <f>Inputs!$A$98</f>
        <v/>
      </c>
      <c r="B177" s="3">
        <f>Loads!$B$85</f>
        <v/>
      </c>
      <c r="C177" s="3">
        <f>IF(OutOfPlane!$A$177=1,Inputs!$D$98&amp;"","")</f>
        <v/>
      </c>
      <c r="D177" s="3">
        <f>Loads!$C$85</f>
        <v/>
      </c>
      <c r="E177" s="3">
        <f>Loads!$D$85</f>
        <v/>
      </c>
      <c r="F177" s="3">
        <f>IF(OutOfPlane!$A$177=1,Inputs!$E$98+0,0)</f>
        <v/>
      </c>
      <c r="G177" s="3">
        <f>IF(OutOfPlane!$A$177=1,Inputs!$G$98+0,0)</f>
        <v/>
      </c>
      <c r="H177" s="3">
        <f>IF(OutOfPlane!$A$177=1,IF(OutOfPlane!$C$177="boom_local",OutOfPlane!$B$17,1),0)</f>
        <v/>
      </c>
      <c r="I177" s="3">
        <f>OutOfPlane!$B$15*OutOfPlane!$B$16*OutOfPlane!$F$177*OutOfPlane!$G$177*OutOfPlane!$H$177</f>
        <v/>
      </c>
    </row>
    <row r="178">
      <c r="A178" s="3">
        <f>Inputs!$A$99</f>
        <v/>
      </c>
      <c r="B178" s="3">
        <f>Loads!$B$86</f>
        <v/>
      </c>
      <c r="C178" s="3">
        <f>IF(OutOfPlane!$A$178=1,Inputs!$D$99&amp;"","")</f>
        <v/>
      </c>
      <c r="D178" s="3">
        <f>Loads!$C$86</f>
        <v/>
      </c>
      <c r="E178" s="3">
        <f>Loads!$D$86</f>
        <v/>
      </c>
      <c r="F178" s="3">
        <f>IF(OutOfPlane!$A$178=1,Inputs!$E$99+0,0)</f>
        <v/>
      </c>
      <c r="G178" s="3">
        <f>IF(OutOfPlane!$A$178=1,Inputs!$G$99+0,0)</f>
        <v/>
      </c>
      <c r="H178" s="3">
        <f>IF(OutOfPlane!$A$178=1,IF(OutOfPlane!$C$178="boom_local",OutOfPlane!$B$17,1),0)</f>
        <v/>
      </c>
      <c r="I178" s="3">
        <f>OutOfPlane!$B$15*OutOfPlane!$B$16*OutOfPlane!$F$178*OutOfPlane!$G$178*OutOfPlane!$H$178</f>
        <v/>
      </c>
    </row>
    <row r="179">
      <c r="A179" s="3">
        <f>Inputs!$A$100</f>
        <v/>
      </c>
      <c r="B179" s="3">
        <f>Loads!$B$87</f>
        <v/>
      </c>
      <c r="C179" s="3">
        <f>IF(OutOfPlane!$A$179=1,Inputs!$D$100&amp;"","")</f>
        <v/>
      </c>
      <c r="D179" s="3">
        <f>Loads!$C$87</f>
        <v/>
      </c>
      <c r="E179" s="3">
        <f>Loads!$D$87</f>
        <v/>
      </c>
      <c r="F179" s="3">
        <f>IF(OutOfPlane!$A$179=1,Inputs!$E$100+0,0)</f>
        <v/>
      </c>
      <c r="G179" s="3">
        <f>IF(OutOfPlane!$A$179=1,Inputs!$G$100+0,0)</f>
        <v/>
      </c>
      <c r="H179" s="3">
        <f>IF(OutOfPlane!$A$179=1,IF(OutOfPlane!$C$179="boom_local",OutOfPlane!$B$17,1),0)</f>
        <v/>
      </c>
      <c r="I179" s="3">
        <f>OutOfPlane!$B$15*OutOfPlane!$B$16*OutOfPlane!$F$179*OutOfPlane!$G$179*OutOfPlane!$H$179</f>
        <v/>
      </c>
    </row>
    <row r="180">
      <c r="A180" s="3">
        <f>Inputs!$A$101</f>
        <v/>
      </c>
      <c r="B180" s="3">
        <f>Loads!$B$88</f>
        <v/>
      </c>
      <c r="C180" s="3">
        <f>IF(OutOfPlane!$A$180=1,Inputs!$D$101&amp;"","")</f>
        <v/>
      </c>
      <c r="D180" s="3">
        <f>Loads!$C$88</f>
        <v/>
      </c>
      <c r="E180" s="3">
        <f>Loads!$D$88</f>
        <v/>
      </c>
      <c r="F180" s="3">
        <f>IF(OutOfPlane!$A$180=1,Inputs!$E$101+0,0)</f>
        <v/>
      </c>
      <c r="G180" s="3">
        <f>IF(OutOfPlane!$A$180=1,Inputs!$G$101+0,0)</f>
        <v/>
      </c>
      <c r="H180" s="3">
        <f>IF(OutOfPlane!$A$180=1,IF(OutOfPlane!$C$180="boom_local",OutOfPlane!$B$17,1),0)</f>
        <v/>
      </c>
      <c r="I180" s="3">
        <f>OutOfPlane!$B$15*OutOfPlane!$B$16*OutOfPlane!$F$180*OutOfPlane!$G$180*OutOfPlane!$H$180</f>
        <v/>
      </c>
    </row>
    <row r="181">
      <c r="A181" s="3">
        <f>Inputs!$A$102</f>
        <v/>
      </c>
      <c r="B181" s="3">
        <f>Loads!$B$89</f>
        <v/>
      </c>
      <c r="C181" s="3">
        <f>IF(OutOfPlane!$A$181=1,Inputs!$D$102&amp;"","")</f>
        <v/>
      </c>
      <c r="D181" s="3">
        <f>Loads!$C$89</f>
        <v/>
      </c>
      <c r="E181" s="3">
        <f>Loads!$D$89</f>
        <v/>
      </c>
      <c r="F181" s="3">
        <f>IF(OutOfPlane!$A$181=1,Inputs!$E$102+0,0)</f>
        <v/>
      </c>
      <c r="G181" s="3">
        <f>IF(OutOfPlane!$A$181=1,Inputs!$G$102+0,0)</f>
        <v/>
      </c>
      <c r="H181" s="3">
        <f>IF(OutOfPlane!$A$181=1,IF(OutOfPlane!$C$181="boom_local",OutOfPlane!$B$17,1),0)</f>
        <v/>
      </c>
      <c r="I181" s="3">
        <f>OutOfPlane!$B$15*OutOfPlane!$B$16*OutOfPlane!$F$181*OutOfPlane!$G$181*OutOfPlane!$H$181</f>
        <v/>
      </c>
    </row>
    <row r="182">
      <c r="A182" s="3">
        <f>Inputs!$A$103</f>
        <v/>
      </c>
      <c r="B182" s="3">
        <f>Loads!$B$90</f>
        <v/>
      </c>
      <c r="C182" s="3">
        <f>IF(OutOfPlane!$A$182=1,Inputs!$D$103&amp;"","")</f>
        <v/>
      </c>
      <c r="D182" s="3">
        <f>Loads!$C$90</f>
        <v/>
      </c>
      <c r="E182" s="3">
        <f>Loads!$D$90</f>
        <v/>
      </c>
      <c r="F182" s="3">
        <f>IF(OutOfPlane!$A$182=1,Inputs!$E$103+0,0)</f>
        <v/>
      </c>
      <c r="G182" s="3">
        <f>IF(OutOfPlane!$A$182=1,Inputs!$G$103+0,0)</f>
        <v/>
      </c>
      <c r="H182" s="3">
        <f>IF(OutOfPlane!$A$182=1,IF(OutOfPlane!$C$182="boom_local",OutOfPlane!$B$17,1),0)</f>
        <v/>
      </c>
      <c r="I182" s="3">
        <f>OutOfPlane!$B$15*OutOfPlane!$B$16*OutOfPlane!$F$182*OutOfPlane!$G$182*OutOfPlane!$H$182</f>
        <v/>
      </c>
    </row>
    <row r="183">
      <c r="A183" s="3">
        <f>Inputs!$A$104</f>
        <v/>
      </c>
      <c r="B183" s="3">
        <f>Loads!$B$91</f>
        <v/>
      </c>
      <c r="C183" s="3">
        <f>IF(OutOfPlane!$A$183=1,Inputs!$D$104&amp;"","")</f>
        <v/>
      </c>
      <c r="D183" s="3">
        <f>Loads!$C$91</f>
        <v/>
      </c>
      <c r="E183" s="3">
        <f>Loads!$D$91</f>
        <v/>
      </c>
      <c r="F183" s="3">
        <f>IF(OutOfPlane!$A$183=1,Inputs!$E$104+0,0)</f>
        <v/>
      </c>
      <c r="G183" s="3">
        <f>IF(OutOfPlane!$A$183=1,Inputs!$G$104+0,0)</f>
        <v/>
      </c>
      <c r="H183" s="3">
        <f>IF(OutOfPlane!$A$183=1,IF(OutOfPlane!$C$183="boom_local",OutOfPlane!$B$17,1),0)</f>
        <v/>
      </c>
      <c r="I183" s="3">
        <f>OutOfPlane!$B$15*OutOfPlane!$B$16*OutOfPlane!$F$183*OutOfPlane!$G$183*OutOfPlane!$H$183</f>
        <v/>
      </c>
    </row>
    <row r="184">
      <c r="A184" s="3">
        <f>Inputs!$A$105</f>
        <v/>
      </c>
      <c r="B184" s="3">
        <f>Loads!$B$92</f>
        <v/>
      </c>
      <c r="C184" s="3">
        <f>IF(OutOfPlane!$A$184=1,Inputs!$D$105&amp;"","")</f>
        <v/>
      </c>
      <c r="D184" s="3">
        <f>Loads!$C$92</f>
        <v/>
      </c>
      <c r="E184" s="3">
        <f>Loads!$D$92</f>
        <v/>
      </c>
      <c r="F184" s="3">
        <f>IF(OutOfPlane!$A$184=1,Inputs!$E$105+0,0)</f>
        <v/>
      </c>
      <c r="G184" s="3">
        <f>IF(OutOfPlane!$A$184=1,Inputs!$G$105+0,0)</f>
        <v/>
      </c>
      <c r="H184" s="3">
        <f>IF(OutOfPlane!$A$184=1,IF(OutOfPlane!$C$184="boom_local",OutOfPlane!$B$17,1),0)</f>
        <v/>
      </c>
      <c r="I184" s="3">
        <f>OutOfPlane!$B$15*OutOfPlane!$B$16*OutOfPlane!$F$184*OutOfPlane!$G$184*OutOfPlane!$H$184</f>
        <v/>
      </c>
    </row>
    <row r="185">
      <c r="A185" s="3">
        <f>Inputs!$A$106</f>
        <v/>
      </c>
      <c r="B185" s="3">
        <f>Loads!$B$93</f>
        <v/>
      </c>
      <c r="C185" s="3">
        <f>IF(OutOfPlane!$A$185=1,Inputs!$D$106&amp;"","")</f>
        <v/>
      </c>
      <c r="D185" s="3">
        <f>Loads!$C$93</f>
        <v/>
      </c>
      <c r="E185" s="3">
        <f>Loads!$D$93</f>
        <v/>
      </c>
      <c r="F185" s="3">
        <f>IF(OutOfPlane!$A$185=1,Inputs!$E$106+0,0)</f>
        <v/>
      </c>
      <c r="G185" s="3">
        <f>IF(OutOfPlane!$A$185=1,Inputs!$G$106+0,0)</f>
        <v/>
      </c>
      <c r="H185" s="3">
        <f>IF(OutOfPlane!$A$185=1,IF(OutOfPlane!$C$185="boom_local",OutOfPlane!$B$17,1),0)</f>
        <v/>
      </c>
      <c r="I185" s="3">
        <f>OutOfPlane!$B$15*OutOfPlane!$B$16*OutOfPlane!$F$185*OutOfPlane!$G$185*OutOfPlane!$H$185</f>
        <v/>
      </c>
    </row>
    <row r="186">
      <c r="A186" s="3">
        <f>Inputs!$A$107</f>
        <v/>
      </c>
      <c r="B186" s="3">
        <f>Loads!$B$94</f>
        <v/>
      </c>
      <c r="C186" s="3">
        <f>IF(OutOfPlane!$A$186=1,Inputs!$D$107&amp;"","")</f>
        <v/>
      </c>
      <c r="D186" s="3">
        <f>Loads!$C$94</f>
        <v/>
      </c>
      <c r="E186" s="3">
        <f>Loads!$D$94</f>
        <v/>
      </c>
      <c r="F186" s="3">
        <f>IF(OutOfPlane!$A$186=1,Inputs!$E$107+0,0)</f>
        <v/>
      </c>
      <c r="G186" s="3">
        <f>IF(OutOfPlane!$A$186=1,Inputs!$G$107+0,0)</f>
        <v/>
      </c>
      <c r="H186" s="3">
        <f>IF(OutOfPlane!$A$186=1,IF(OutOfPlane!$C$186="boom_local",OutOfPlane!$B$17,1),0)</f>
        <v/>
      </c>
      <c r="I186" s="3">
        <f>OutOfPlane!$B$15*OutOfPlane!$B$16*OutOfPlane!$F$186*OutOfPlane!$G$186*OutOfPlane!$H$186</f>
        <v/>
      </c>
    </row>
    <row r="187">
      <c r="A187" s="3">
        <f>Inputs!$A$108</f>
        <v/>
      </c>
      <c r="B187" s="3">
        <f>Loads!$B$95</f>
        <v/>
      </c>
      <c r="C187" s="3">
        <f>IF(OutOfPlane!$A$187=1,Inputs!$D$108&amp;"","")</f>
        <v/>
      </c>
      <c r="D187" s="3">
        <f>Loads!$C$95</f>
        <v/>
      </c>
      <c r="E187" s="3">
        <f>Loads!$D$95</f>
        <v/>
      </c>
      <c r="F187" s="3">
        <f>IF(OutOfPlane!$A$187=1,Inputs!$E$108+0,0)</f>
        <v/>
      </c>
      <c r="G187" s="3">
        <f>IF(OutOfPlane!$A$187=1,Inputs!$G$108+0,0)</f>
        <v/>
      </c>
      <c r="H187" s="3">
        <f>IF(OutOfPlane!$A$187=1,IF(OutOfPlane!$C$187="boom_local",OutOfPlane!$B$17,1),0)</f>
        <v/>
      </c>
      <c r="I187" s="3">
        <f>OutOfPlane!$B$15*OutOfPlane!$B$16*OutOfPlane!$F$187*OutOfPlane!$G$187*OutOfPlane!$H$187</f>
        <v/>
      </c>
    </row>
    <row r="188">
      <c r="A188" s="3">
        <f>Inputs!$A$109</f>
        <v/>
      </c>
      <c r="B188" s="3">
        <f>Loads!$B$96</f>
        <v/>
      </c>
      <c r="C188" s="3">
        <f>IF(OutOfPlane!$A$188=1,Inputs!$D$109&amp;"","")</f>
        <v/>
      </c>
      <c r="D188" s="3">
        <f>Loads!$C$96</f>
        <v/>
      </c>
      <c r="E188" s="3">
        <f>Loads!$D$96</f>
        <v/>
      </c>
      <c r="F188" s="3">
        <f>IF(OutOfPlane!$A$188=1,Inputs!$E$109+0,0)</f>
        <v/>
      </c>
      <c r="G188" s="3">
        <f>IF(OutOfPlane!$A$188=1,Inputs!$G$109+0,0)</f>
        <v/>
      </c>
      <c r="H188" s="3">
        <f>IF(OutOfPlane!$A$188=1,IF(OutOfPlane!$C$188="boom_local",OutOfPlane!$B$17,1),0)</f>
        <v/>
      </c>
      <c r="I188" s="3">
        <f>OutOfPlane!$B$15*OutOfPlane!$B$16*OutOfPlane!$F$188*OutOfPlane!$G$188*OutOfPlane!$H$188</f>
        <v/>
      </c>
    </row>
    <row r="189">
      <c r="A189" s="3">
        <f>Inputs!$A$110</f>
        <v/>
      </c>
      <c r="B189" s="3">
        <f>Loads!$B$97</f>
        <v/>
      </c>
      <c r="C189" s="3">
        <f>IF(OutOfPlane!$A$189=1,Inputs!$D$110&amp;"","")</f>
        <v/>
      </c>
      <c r="D189" s="3">
        <f>Loads!$C$97</f>
        <v/>
      </c>
      <c r="E189" s="3">
        <f>Loads!$D$97</f>
        <v/>
      </c>
      <c r="F189" s="3">
        <f>IF(OutOfPlane!$A$189=1,Inputs!$E$110+0,0)</f>
        <v/>
      </c>
      <c r="G189" s="3">
        <f>IF(OutOfPlane!$A$189=1,Inputs!$G$110+0,0)</f>
        <v/>
      </c>
      <c r="H189" s="3">
        <f>IF(OutOfPlane!$A$189=1,IF(OutOfPlane!$C$189="boom_local",OutOfPlane!$B$17,1),0)</f>
        <v/>
      </c>
      <c r="I189" s="3">
        <f>OutOfPlane!$B$15*OutOfPlane!$B$16*OutOfPlane!$F$189*OutOfPlane!$G$189*OutOfPlane!$H$189</f>
        <v/>
      </c>
    </row>
    <row r="190">
      <c r="A190" s="3">
        <f>Inputs!$A$111</f>
        <v/>
      </c>
      <c r="B190" s="3">
        <f>Loads!$B$98</f>
        <v/>
      </c>
      <c r="C190" s="3">
        <f>IF(OutOfPlane!$A$190=1,Inputs!$D$111&amp;"","")</f>
        <v/>
      </c>
      <c r="D190" s="3">
        <f>Loads!$C$98</f>
        <v/>
      </c>
      <c r="E190" s="3">
        <f>Loads!$D$98</f>
        <v/>
      </c>
      <c r="F190" s="3">
        <f>IF(OutOfPlane!$A$190=1,Inputs!$E$111+0,0)</f>
        <v/>
      </c>
      <c r="G190" s="3">
        <f>IF(OutOfPlane!$A$190=1,Inputs!$G$111+0,0)</f>
        <v/>
      </c>
      <c r="H190" s="3">
        <f>IF(OutOfPlane!$A$190=1,IF(OutOfPlane!$C$190="boom_local",OutOfPlane!$B$17,1),0)</f>
        <v/>
      </c>
      <c r="I190" s="3">
        <f>OutOfPlane!$B$15*OutOfPlane!$B$16*OutOfPlane!$F$190*OutOfPlane!$G$190*OutOfPlane!$H$190</f>
        <v/>
      </c>
    </row>
    <row r="191">
      <c r="A191" s="3">
        <f>Inputs!$A$112</f>
        <v/>
      </c>
      <c r="B191" s="3">
        <f>Loads!$B$99</f>
        <v/>
      </c>
      <c r="C191" s="3">
        <f>IF(OutOfPlane!$A$191=1,Inputs!$D$112&amp;"","")</f>
        <v/>
      </c>
      <c r="D191" s="3">
        <f>Loads!$C$99</f>
        <v/>
      </c>
      <c r="E191" s="3">
        <f>Loads!$D$99</f>
        <v/>
      </c>
      <c r="F191" s="3">
        <f>IF(OutOfPlane!$A$191=1,Inputs!$E$112+0,0)</f>
        <v/>
      </c>
      <c r="G191" s="3">
        <f>IF(OutOfPlane!$A$191=1,Inputs!$G$112+0,0)</f>
        <v/>
      </c>
      <c r="H191" s="3">
        <f>IF(OutOfPlane!$A$191=1,IF(OutOfPlane!$C$191="boom_local",OutOfPlane!$B$17,1),0)</f>
        <v/>
      </c>
      <c r="I191" s="3">
        <f>OutOfPlane!$B$15*OutOfPlane!$B$16*OutOfPlane!$F$191*OutOfPlane!$G$191*OutOfPlane!$H$191</f>
        <v/>
      </c>
    </row>
    <row r="192">
      <c r="A192" s="3">
        <f>Inputs!$A$113</f>
        <v/>
      </c>
      <c r="B192" s="3">
        <f>Loads!$B$100</f>
        <v/>
      </c>
      <c r="C192" s="3">
        <f>IF(OutOfPlane!$A$192=1,Inputs!$D$113&amp;"","")</f>
        <v/>
      </c>
      <c r="D192" s="3">
        <f>Loads!$C$100</f>
        <v/>
      </c>
      <c r="E192" s="3">
        <f>Loads!$D$100</f>
        <v/>
      </c>
      <c r="F192" s="3">
        <f>IF(OutOfPlane!$A$192=1,Inputs!$E$113+0,0)</f>
        <v/>
      </c>
      <c r="G192" s="3">
        <f>IF(OutOfPlane!$A$192=1,Inputs!$G$113+0,0)</f>
        <v/>
      </c>
      <c r="H192" s="3">
        <f>IF(OutOfPlane!$A$192=1,IF(OutOfPlane!$C$192="boom_local",OutOfPlane!$B$17,1),0)</f>
        <v/>
      </c>
      <c r="I192" s="3">
        <f>OutOfPlane!$B$15*OutOfPlane!$B$16*OutOfPlane!$F$192*OutOfPlane!$G$192*OutOfPlane!$H$192</f>
        <v/>
      </c>
    </row>
    <row r="193">
      <c r="A193" s="3">
        <f>Inputs!$A$114</f>
        <v/>
      </c>
      <c r="B193" s="3">
        <f>Loads!$B$101</f>
        <v/>
      </c>
      <c r="C193" s="3">
        <f>IF(OutOfPlane!$A$193=1,Inputs!$D$114&amp;"","")</f>
        <v/>
      </c>
      <c r="D193" s="3">
        <f>Loads!$C$101</f>
        <v/>
      </c>
      <c r="E193" s="3">
        <f>Loads!$D$101</f>
        <v/>
      </c>
      <c r="F193" s="3">
        <f>IF(OutOfPlane!$A$193=1,Inputs!$E$114+0,0)</f>
        <v/>
      </c>
      <c r="G193" s="3">
        <f>IF(OutOfPlane!$A$193=1,Inputs!$G$114+0,0)</f>
        <v/>
      </c>
      <c r="H193" s="3">
        <f>IF(OutOfPlane!$A$193=1,IF(OutOfPlane!$C$193="boom_local",OutOfPlane!$B$17,1),0)</f>
        <v/>
      </c>
      <c r="I193" s="3">
        <f>OutOfPlane!$B$15*OutOfPlane!$B$16*OutOfPlane!$F$193*OutOfPlane!$G$193*OutOfPlane!$H$193</f>
        <v/>
      </c>
    </row>
    <row r="194">
      <c r="A194" s="3">
        <f>Inputs!$A$115</f>
        <v/>
      </c>
      <c r="B194" s="3">
        <f>Loads!$B$102</f>
        <v/>
      </c>
      <c r="C194" s="3">
        <f>IF(OutOfPlane!$A$194=1,Inputs!$D$115&amp;"","")</f>
        <v/>
      </c>
      <c r="D194" s="3">
        <f>Loads!$C$102</f>
        <v/>
      </c>
      <c r="E194" s="3">
        <f>Loads!$D$102</f>
        <v/>
      </c>
      <c r="F194" s="3">
        <f>IF(OutOfPlane!$A$194=1,Inputs!$E$115+0,0)</f>
        <v/>
      </c>
      <c r="G194" s="3">
        <f>IF(OutOfPlane!$A$194=1,Inputs!$G$115+0,0)</f>
        <v/>
      </c>
      <c r="H194" s="3">
        <f>IF(OutOfPlane!$A$194=1,IF(OutOfPlane!$C$194="boom_local",OutOfPlane!$B$17,1),0)</f>
        <v/>
      </c>
      <c r="I194" s="3">
        <f>OutOfPlane!$B$15*OutOfPlane!$B$16*OutOfPlane!$F$194*OutOfPlane!$G$194*OutOfPlane!$H$194</f>
        <v/>
      </c>
    </row>
    <row r="195">
      <c r="A195" s="3">
        <f>Inputs!$A$116</f>
        <v/>
      </c>
      <c r="B195" s="3">
        <f>Loads!$B$103</f>
        <v/>
      </c>
      <c r="C195" s="3">
        <f>IF(OutOfPlane!$A$195=1,Inputs!$D$116&amp;"","")</f>
        <v/>
      </c>
      <c r="D195" s="3">
        <f>Loads!$C$103</f>
        <v/>
      </c>
      <c r="E195" s="3">
        <f>Loads!$D$103</f>
        <v/>
      </c>
      <c r="F195" s="3">
        <f>IF(OutOfPlane!$A$195=1,Inputs!$E$116+0,0)</f>
        <v/>
      </c>
      <c r="G195" s="3">
        <f>IF(OutOfPlane!$A$195=1,Inputs!$G$116+0,0)</f>
        <v/>
      </c>
      <c r="H195" s="3">
        <f>IF(OutOfPlane!$A$195=1,IF(OutOfPlane!$C$195="boom_local",OutOfPlane!$B$17,1),0)</f>
        <v/>
      </c>
      <c r="I195" s="3">
        <f>OutOfPlane!$B$15*OutOfPlane!$B$16*OutOfPlane!$F$195*OutOfPlane!$G$195*OutOfPlane!$H$195</f>
        <v/>
      </c>
    </row>
    <row r="196">
      <c r="A196" s="3">
        <f>Inputs!$A$117</f>
        <v/>
      </c>
      <c r="B196" s="3">
        <f>Loads!$B$104</f>
        <v/>
      </c>
      <c r="C196" s="3">
        <f>IF(OutOfPlane!$A$196=1,Inputs!$D$117&amp;"","")</f>
        <v/>
      </c>
      <c r="D196" s="3">
        <f>Loads!$C$104</f>
        <v/>
      </c>
      <c r="E196" s="3">
        <f>Loads!$D$104</f>
        <v/>
      </c>
      <c r="F196" s="3">
        <f>IF(OutOfPlane!$A$196=1,Inputs!$E$117+0,0)</f>
        <v/>
      </c>
      <c r="G196" s="3">
        <f>IF(OutOfPlane!$A$196=1,Inputs!$G$117+0,0)</f>
        <v/>
      </c>
      <c r="H196" s="3">
        <f>IF(OutOfPlane!$A$196=1,IF(OutOfPlane!$C$196="boom_local",OutOfPlane!$B$17,1),0)</f>
        <v/>
      </c>
      <c r="I196" s="3">
        <f>OutOfPlane!$B$15*OutOfPlane!$B$16*OutOfPlane!$F$196*OutOfPlane!$G$196*OutOfPlane!$H$196</f>
        <v/>
      </c>
    </row>
    <row r="197">
      <c r="A197" s="3">
        <f>Inputs!$A$118</f>
        <v/>
      </c>
      <c r="B197" s="3">
        <f>Loads!$B$105</f>
        <v/>
      </c>
      <c r="C197" s="3">
        <f>IF(OutOfPlane!$A$197=1,Inputs!$D$118&amp;"","")</f>
        <v/>
      </c>
      <c r="D197" s="3">
        <f>Loads!$C$105</f>
        <v/>
      </c>
      <c r="E197" s="3">
        <f>Loads!$D$105</f>
        <v/>
      </c>
      <c r="F197" s="3">
        <f>IF(OutOfPlane!$A$197=1,Inputs!$E$118+0,0)</f>
        <v/>
      </c>
      <c r="G197" s="3">
        <f>IF(OutOfPlane!$A$197=1,Inputs!$G$118+0,0)</f>
        <v/>
      </c>
      <c r="H197" s="3">
        <f>IF(OutOfPlane!$A$197=1,IF(OutOfPlane!$C$197="boom_local",OutOfPlane!$B$17,1),0)</f>
        <v/>
      </c>
      <c r="I197" s="3">
        <f>OutOfPlane!$B$15*OutOfPlane!$B$16*OutOfPlane!$F$197*OutOfPlane!$G$197*OutOfPlane!$H$197</f>
        <v/>
      </c>
    </row>
    <row r="198">
      <c r="A198" s="3">
        <f>Inputs!$A$119</f>
        <v/>
      </c>
      <c r="B198" s="3">
        <f>Loads!$B$106</f>
        <v/>
      </c>
      <c r="C198" s="3">
        <f>IF(OutOfPlane!$A$198=1,Inputs!$D$119&amp;"","")</f>
        <v/>
      </c>
      <c r="D198" s="3">
        <f>Loads!$C$106</f>
        <v/>
      </c>
      <c r="E198" s="3">
        <f>Loads!$D$106</f>
        <v/>
      </c>
      <c r="F198" s="3">
        <f>IF(OutOfPlane!$A$198=1,Inputs!$E$119+0,0)</f>
        <v/>
      </c>
      <c r="G198" s="3">
        <f>IF(OutOfPlane!$A$198=1,Inputs!$G$119+0,0)</f>
        <v/>
      </c>
      <c r="H198" s="3">
        <f>IF(OutOfPlane!$A$198=1,IF(OutOfPlane!$C$198="boom_local",OutOfPlane!$B$17,1),0)</f>
        <v/>
      </c>
      <c r="I198" s="3">
        <f>OutOfPlane!$B$15*OutOfPlane!$B$16*OutOfPlane!$F$198*OutOfPlane!$G$198*OutOfPlane!$H$198</f>
        <v/>
      </c>
    </row>
    <row r="199">
      <c r="A199" s="3">
        <f>Inputs!$A$120</f>
        <v/>
      </c>
      <c r="B199" s="3">
        <f>Loads!$B$107</f>
        <v/>
      </c>
      <c r="C199" s="3">
        <f>IF(OutOfPlane!$A$199=1,Inputs!$D$120&amp;"","")</f>
        <v/>
      </c>
      <c r="D199" s="3">
        <f>Loads!$C$107</f>
        <v/>
      </c>
      <c r="E199" s="3">
        <f>Loads!$D$107</f>
        <v/>
      </c>
      <c r="F199" s="3">
        <f>IF(OutOfPlane!$A$199=1,Inputs!$E$120+0,0)</f>
        <v/>
      </c>
      <c r="G199" s="3">
        <f>IF(OutOfPlane!$A$199=1,Inputs!$G$120+0,0)</f>
        <v/>
      </c>
      <c r="H199" s="3">
        <f>IF(OutOfPlane!$A$199=1,IF(OutOfPlane!$C$199="boom_local",OutOfPlane!$B$17,1),0)</f>
        <v/>
      </c>
      <c r="I199" s="3">
        <f>OutOfPlane!$B$15*OutOfPlane!$B$16*OutOfPlane!$F$199*OutOfPlane!$G$199*OutOfPlane!$H$199</f>
        <v/>
      </c>
    </row>
    <row r="200">
      <c r="A200" s="3">
        <f>Inputs!$A$121</f>
        <v/>
      </c>
      <c r="B200" s="3">
        <f>Loads!$B$108</f>
        <v/>
      </c>
      <c r="C200" s="3">
        <f>IF(OutOfPlane!$A$200=1,Inputs!$D$121&amp;"","")</f>
        <v/>
      </c>
      <c r="D200" s="3">
        <f>Loads!$C$108</f>
        <v/>
      </c>
      <c r="E200" s="3">
        <f>Loads!$D$108</f>
        <v/>
      </c>
      <c r="F200" s="3">
        <f>IF(OutOfPlane!$A$200=1,Inputs!$E$121+0,0)</f>
        <v/>
      </c>
      <c r="G200" s="3">
        <f>IF(OutOfPlane!$A$200=1,Inputs!$G$121+0,0)</f>
        <v/>
      </c>
      <c r="H200" s="3">
        <f>IF(OutOfPlane!$A$200=1,IF(OutOfPlane!$C$200="boom_local",OutOfPlane!$B$17,1),0)</f>
        <v/>
      </c>
      <c r="I200" s="3">
        <f>OutOfPlane!$B$15*OutOfPlane!$B$16*OutOfPlane!$F$200*OutOfPlane!$G$200*OutOfPlane!$H$200</f>
        <v/>
      </c>
    </row>
    <row r="201">
      <c r="A201" s="3">
        <f>Inputs!$A$122</f>
        <v/>
      </c>
      <c r="B201" s="3">
        <f>Loads!$B$109</f>
        <v/>
      </c>
      <c r="C201" s="3">
        <f>IF(OutOfPlane!$A$201=1,Inputs!$D$122&amp;"","")</f>
        <v/>
      </c>
      <c r="D201" s="3">
        <f>Loads!$C$109</f>
        <v/>
      </c>
      <c r="E201" s="3">
        <f>Loads!$D$109</f>
        <v/>
      </c>
      <c r="F201" s="3">
        <f>IF(OutOfPlane!$A$201=1,Inputs!$E$122+0,0)</f>
        <v/>
      </c>
      <c r="G201" s="3">
        <f>IF(OutOfPlane!$A$201=1,Inputs!$G$122+0,0)</f>
        <v/>
      </c>
      <c r="H201" s="3">
        <f>IF(OutOfPlane!$A$201=1,IF(OutOfPlane!$C$201="boom_local",OutOfPlane!$B$17,1),0)</f>
        <v/>
      </c>
      <c r="I201" s="3">
        <f>OutOfPlane!$B$15*OutOfPlane!$B$16*OutOfPlane!$F$201*OutOfPlane!$G$201*OutOfPlane!$H$201</f>
        <v/>
      </c>
    </row>
    <row r="202">
      <c r="A202" s="3">
        <f>Inputs!$A$123</f>
        <v/>
      </c>
      <c r="B202" s="3">
        <f>Loads!$B$110</f>
        <v/>
      </c>
      <c r="C202" s="3">
        <f>IF(OutOfPlane!$A$202=1,Inputs!$D$123&amp;"","")</f>
        <v/>
      </c>
      <c r="D202" s="3">
        <f>Loads!$C$110</f>
        <v/>
      </c>
      <c r="E202" s="3">
        <f>Loads!$D$110</f>
        <v/>
      </c>
      <c r="F202" s="3">
        <f>IF(OutOfPlane!$A$202=1,Inputs!$E$123+0,0)</f>
        <v/>
      </c>
      <c r="G202" s="3">
        <f>IF(OutOfPlane!$A$202=1,Inputs!$G$123+0,0)</f>
        <v/>
      </c>
      <c r="H202" s="3">
        <f>IF(OutOfPlane!$A$202=1,IF(OutOfPlane!$C$202="boom_local",OutOfPlane!$B$17,1),0)</f>
        <v/>
      </c>
      <c r="I202" s="3">
        <f>OutOfPlane!$B$15*OutOfPlane!$B$16*OutOfPlane!$F$202*OutOfPlane!$G$202*OutOfPlane!$H$202</f>
        <v/>
      </c>
    </row>
    <row r="203">
      <c r="A203" s="3">
        <f>Inputs!$A$124</f>
        <v/>
      </c>
      <c r="B203" s="3">
        <f>Loads!$B$111</f>
        <v/>
      </c>
      <c r="C203" s="3">
        <f>IF(OutOfPlane!$A$203=1,Inputs!$D$124&amp;"","")</f>
        <v/>
      </c>
      <c r="D203" s="3">
        <f>Loads!$C$111</f>
        <v/>
      </c>
      <c r="E203" s="3">
        <f>Loads!$D$111</f>
        <v/>
      </c>
      <c r="F203" s="3">
        <f>IF(OutOfPlane!$A$203=1,Inputs!$E$124+0,0)</f>
        <v/>
      </c>
      <c r="G203" s="3">
        <f>IF(OutOfPlane!$A$203=1,Inputs!$G$124+0,0)</f>
        <v/>
      </c>
      <c r="H203" s="3">
        <f>IF(OutOfPlane!$A$203=1,IF(OutOfPlane!$C$203="boom_local",OutOfPlane!$B$17,1),0)</f>
        <v/>
      </c>
      <c r="I203" s="3">
        <f>OutOfPlane!$B$15*OutOfPlane!$B$16*OutOfPlane!$F$203*OutOfPlane!$G$203*OutOfPlane!$H$203</f>
        <v/>
      </c>
    </row>
    <row r="204">
      <c r="A204" s="3">
        <f>Inputs!$A$125</f>
        <v/>
      </c>
      <c r="B204" s="3">
        <f>Loads!$B$112</f>
        <v/>
      </c>
      <c r="C204" s="3">
        <f>IF(OutOfPlane!$A$204=1,Inputs!$D$125&amp;"","")</f>
        <v/>
      </c>
      <c r="D204" s="3">
        <f>Loads!$C$112</f>
        <v/>
      </c>
      <c r="E204" s="3">
        <f>Loads!$D$112</f>
        <v/>
      </c>
      <c r="F204" s="3">
        <f>IF(OutOfPlane!$A$204=1,Inputs!$E$125+0,0)</f>
        <v/>
      </c>
      <c r="G204" s="3">
        <f>IF(OutOfPlane!$A$204=1,Inputs!$G$125+0,0)</f>
        <v/>
      </c>
      <c r="H204" s="3">
        <f>IF(OutOfPlane!$A$204=1,IF(OutOfPlane!$C$204="boom_local",OutOfPlane!$B$17,1),0)</f>
        <v/>
      </c>
      <c r="I204" s="3">
        <f>OutOfPlane!$B$15*OutOfPlane!$B$16*OutOfPlane!$F$204*OutOfPlane!$G$204*OutOfPlane!$H$204</f>
        <v/>
      </c>
    </row>
    <row r="205">
      <c r="A205" s="3">
        <f>Inputs!$A$126</f>
        <v/>
      </c>
      <c r="B205" s="3">
        <f>Loads!$B$113</f>
        <v/>
      </c>
      <c r="C205" s="3">
        <f>IF(OutOfPlane!$A$205=1,Inputs!$D$126&amp;"","")</f>
        <v/>
      </c>
      <c r="D205" s="3">
        <f>Loads!$C$113</f>
        <v/>
      </c>
      <c r="E205" s="3">
        <f>Loads!$D$113</f>
        <v/>
      </c>
      <c r="F205" s="3">
        <f>IF(OutOfPlane!$A$205=1,Inputs!$E$126+0,0)</f>
        <v/>
      </c>
      <c r="G205" s="3">
        <f>IF(OutOfPlane!$A$205=1,Inputs!$G$126+0,0)</f>
        <v/>
      </c>
      <c r="H205" s="3">
        <f>IF(OutOfPlane!$A$205=1,IF(OutOfPlane!$C$205="boom_local",OutOfPlane!$B$17,1),0)</f>
        <v/>
      </c>
      <c r="I205" s="3">
        <f>OutOfPlane!$B$15*OutOfPlane!$B$16*OutOfPlane!$F$205*OutOfPlane!$G$205*OutOfPlane!$H$205</f>
        <v/>
      </c>
    </row>
    <row r="206">
      <c r="A206" s="3">
        <f>Inputs!$A$127</f>
        <v/>
      </c>
      <c r="B206" s="3">
        <f>Loads!$B$114</f>
        <v/>
      </c>
      <c r="C206" s="3">
        <f>IF(OutOfPlane!$A$206=1,Inputs!$D$127&amp;"","")</f>
        <v/>
      </c>
      <c r="D206" s="3">
        <f>Loads!$C$114</f>
        <v/>
      </c>
      <c r="E206" s="3">
        <f>Loads!$D$114</f>
        <v/>
      </c>
      <c r="F206" s="3">
        <f>IF(OutOfPlane!$A$206=1,Inputs!$E$127+0,0)</f>
        <v/>
      </c>
      <c r="G206" s="3">
        <f>IF(OutOfPlane!$A$206=1,Inputs!$G$127+0,0)</f>
        <v/>
      </c>
      <c r="H206" s="3">
        <f>IF(OutOfPlane!$A$206=1,IF(OutOfPlane!$C$206="boom_local",OutOfPlane!$B$17,1),0)</f>
        <v/>
      </c>
      <c r="I206" s="3">
        <f>OutOfPlane!$B$15*OutOfPlane!$B$16*OutOfPlane!$F$206*OutOfPlane!$G$206*OutOfPlane!$H$206</f>
        <v/>
      </c>
    </row>
    <row r="207">
      <c r="A207" s="3">
        <f>Inputs!$A$128</f>
        <v/>
      </c>
      <c r="B207" s="3">
        <f>Loads!$B$115</f>
        <v/>
      </c>
      <c r="C207" s="3">
        <f>IF(OutOfPlane!$A$207=1,Inputs!$D$128&amp;"","")</f>
        <v/>
      </c>
      <c r="D207" s="3">
        <f>Loads!$C$115</f>
        <v/>
      </c>
      <c r="E207" s="3">
        <f>Loads!$D$115</f>
        <v/>
      </c>
      <c r="F207" s="3">
        <f>IF(OutOfPlane!$A$207=1,Inputs!$E$128+0,0)</f>
        <v/>
      </c>
      <c r="G207" s="3">
        <f>IF(OutOfPlane!$A$207=1,Inputs!$G$128+0,0)</f>
        <v/>
      </c>
      <c r="H207" s="3">
        <f>IF(OutOfPlane!$A$207=1,IF(OutOfPlane!$C$207="boom_local",OutOfPlane!$B$17,1),0)</f>
        <v/>
      </c>
      <c r="I207" s="3">
        <f>OutOfPlane!$B$15*OutOfPlane!$B$16*OutOfPlane!$F$207*OutOfPlane!$G$207*OutOfPlane!$H$207</f>
        <v/>
      </c>
    </row>
    <row r="208">
      <c r="A208" s="3">
        <f>Inputs!$A$129</f>
        <v/>
      </c>
      <c r="B208" s="3">
        <f>Loads!$B$116</f>
        <v/>
      </c>
      <c r="C208" s="3">
        <f>IF(OutOfPlane!$A$208=1,Inputs!$D$129&amp;"","")</f>
        <v/>
      </c>
      <c r="D208" s="3">
        <f>Loads!$C$116</f>
        <v/>
      </c>
      <c r="E208" s="3">
        <f>Loads!$D$116</f>
        <v/>
      </c>
      <c r="F208" s="3">
        <f>IF(OutOfPlane!$A$208=1,Inputs!$E$129+0,0)</f>
        <v/>
      </c>
      <c r="G208" s="3">
        <f>IF(OutOfPlane!$A$208=1,Inputs!$G$129+0,0)</f>
        <v/>
      </c>
      <c r="H208" s="3">
        <f>IF(OutOfPlane!$A$208=1,IF(OutOfPlane!$C$208="boom_local",OutOfPlane!$B$17,1),0)</f>
        <v/>
      </c>
      <c r="I208" s="3">
        <f>OutOfPlane!$B$15*OutOfPlane!$B$16*OutOfPlane!$F$208*OutOfPlane!$G$208*OutOfPlane!$H$208</f>
        <v/>
      </c>
    </row>
    <row r="209">
      <c r="A209" s="3">
        <f>Inputs!$A$130</f>
        <v/>
      </c>
      <c r="B209" s="3">
        <f>Loads!$B$117</f>
        <v/>
      </c>
      <c r="C209" s="3">
        <f>IF(OutOfPlane!$A$209=1,Inputs!$D$130&amp;"","")</f>
        <v/>
      </c>
      <c r="D209" s="3">
        <f>Loads!$C$117</f>
        <v/>
      </c>
      <c r="E209" s="3">
        <f>Loads!$D$117</f>
        <v/>
      </c>
      <c r="F209" s="3">
        <f>IF(OutOfPlane!$A$209=1,Inputs!$E$130+0,0)</f>
        <v/>
      </c>
      <c r="G209" s="3">
        <f>IF(OutOfPlane!$A$209=1,Inputs!$G$130+0,0)</f>
        <v/>
      </c>
      <c r="H209" s="3">
        <f>IF(OutOfPlane!$A$209=1,IF(OutOfPlane!$C$209="boom_local",OutOfPlane!$B$17,1),0)</f>
        <v/>
      </c>
      <c r="I209" s="3">
        <f>OutOfPlane!$B$15*OutOfPlane!$B$16*OutOfPlane!$F$209*OutOfPlane!$G$209*OutOfPlane!$H$209</f>
        <v/>
      </c>
    </row>
    <row r="210">
      <c r="A210" s="3">
        <f>Inputs!$A$131</f>
        <v/>
      </c>
      <c r="B210" s="3">
        <f>Loads!$B$118</f>
        <v/>
      </c>
      <c r="C210" s="3">
        <f>IF(OutOfPlane!$A$210=1,Inputs!$D$131&amp;"","")</f>
        <v/>
      </c>
      <c r="D210" s="3">
        <f>Loads!$C$118</f>
        <v/>
      </c>
      <c r="E210" s="3">
        <f>Loads!$D$118</f>
        <v/>
      </c>
      <c r="F210" s="3">
        <f>IF(OutOfPlane!$A$210=1,Inputs!$E$131+0,0)</f>
        <v/>
      </c>
      <c r="G210" s="3">
        <f>IF(OutOfPlane!$A$210=1,Inputs!$G$131+0,0)</f>
        <v/>
      </c>
      <c r="H210" s="3">
        <f>IF(OutOfPlane!$A$210=1,IF(OutOfPlane!$C$210="boom_local",OutOfPlane!$B$17,1),0)</f>
        <v/>
      </c>
      <c r="I210" s="3">
        <f>OutOfPlane!$B$15*OutOfPlane!$B$16*OutOfPlane!$F$210*OutOfPlane!$G$210*OutOfPlane!$H$210</f>
        <v/>
      </c>
    </row>
    <row r="214">
      <c r="A214" s="6" t="inlineStr">
        <is>
          <t>Moments of the applied loads per support group</t>
        </is>
      </c>
    </row>
    <row r="215">
      <c r="A215" s="8" t="inlineStr">
        <is>
          <t>Support group</t>
        </is>
      </c>
      <c r="B215" s="8" t="inlineStr">
        <is>
          <t>Origin node</t>
        </is>
      </c>
      <c r="C215" s="8" t="inlineStr">
        <is>
          <t>Origin x [m]</t>
        </is>
      </c>
      <c r="D215" s="8" t="inlineStr">
        <is>
          <t>Origin z [m]</t>
        </is>
      </c>
      <c r="E215" s="8" t="inlineStr">
        <is>
          <t>Mx mass points = SUM(y Fz) - SUM((z - oz) Fy) [kNm]</t>
        </is>
      </c>
      <c r="F215" s="8" t="inlineStr">
        <is>
          <t>Mx lumped masses = -SUM((z - oz) Fy) [kNm]</t>
        </is>
      </c>
      <c r="G215" s="8" t="inlineStr">
        <is>
          <t>Mx wind = -SUM((z - oz) Fy) [kNm]</t>
        </is>
      </c>
      <c r="H215" s="8" t="inlineStr">
        <is>
          <t>Mx side force = -(z - oz) Fy [kNm]</t>
        </is>
      </c>
      <c r="I215" s="8" t="inlineStr">
        <is>
          <t>Mx total [kNm]</t>
        </is>
      </c>
      <c r="J215" s="8" t="inlineStr">
        <is>
          <t>Mz mass points = SUM((x - ox) Fy) - SUM(y Fx) [kNm]</t>
        </is>
      </c>
      <c r="K215" s="8" t="inlineStr">
        <is>
          <t>Mz lumped masses = SUM((x - ox) Fy) [kNm]</t>
        </is>
      </c>
      <c r="L215" s="8" t="inlineStr">
        <is>
          <t>Mz wind = SUM((x - ox) Fy) [kNm]</t>
        </is>
      </c>
      <c r="M215" s="8" t="inlineStr">
        <is>
          <t>Mz side force = (x - ox) Fy [kNm]</t>
        </is>
      </c>
      <c r="N215" s="8" t="inlineStr">
        <is>
          <t>Mz total [kNm]</t>
        </is>
      </c>
    </row>
    <row r="216">
      <c r="A216" s="7" t="inlineStr">
        <is>
          <t>group</t>
        </is>
      </c>
      <c r="B216" s="7" t="inlineStr">
        <is>
          <t>node</t>
        </is>
      </c>
      <c r="C216" s="7" t="inlineStr">
        <is>
          <t>ox_m (Statics structure nodes)</t>
        </is>
      </c>
      <c r="D216" s="7" t="inlineStr">
        <is>
          <t>oz_m</t>
        </is>
      </c>
      <c r="E216" s="7" t="inlineStr">
        <is>
          <t>mx_masses</t>
        </is>
      </c>
      <c r="F216" s="7" t="inlineStr">
        <is>
          <t>mx_lumped</t>
        </is>
      </c>
      <c r="G216" s="7" t="inlineStr">
        <is>
          <t>mx_wind</t>
        </is>
      </c>
      <c r="H216" s="7" t="inlineStr">
        <is>
          <t>mx_side</t>
        </is>
      </c>
      <c r="I216" s="7" t="inlineStr">
        <is>
          <t>mx</t>
        </is>
      </c>
      <c r="J216" s="7" t="inlineStr">
        <is>
          <t>mz_masses</t>
        </is>
      </c>
      <c r="K216" s="7" t="inlineStr">
        <is>
          <t>mz_lumped</t>
        </is>
      </c>
      <c r="L216" s="7" t="inlineStr">
        <is>
          <t>mz_wind</t>
        </is>
      </c>
      <c r="M216" s="7" t="inlineStr">
        <is>
          <t>mz_side</t>
        </is>
      </c>
      <c r="N216" s="7" t="inlineStr">
        <is>
          <t>mz</t>
        </is>
      </c>
    </row>
    <row r="217">
      <c r="A217" t="inlineStr">
        <is>
          <t>heel</t>
        </is>
      </c>
      <c r="B217" t="inlineStr">
        <is>
          <t>boom_heel</t>
        </is>
      </c>
      <c r="C217" s="3">
        <f>Statics!$B$16</f>
        <v/>
      </c>
      <c r="D217" s="3">
        <f>Statics!$B$17</f>
        <v/>
      </c>
      <c r="E217" s="3">
        <f>SUMPRODUCT(OutOfPlane!$E$39:$E$78,OutOfPlane!$I$39:$I$78)-SUMPRODUCT(OutOfPlane!$F$39:$F$78-OutOfPlane!$D$217,OutOfPlane!$J$39:$J$78)</f>
        <v/>
      </c>
      <c r="F217" s="3">
        <f>-SUMPRODUCT(OutOfPlane!$D$85:$D$164-OutOfPlane!$D$217,OutOfPlane!$H$85:$H$164)</f>
        <v/>
      </c>
      <c r="G217" s="3">
        <f>-SUMPRODUCT(OutOfPlane!$E$171:$E$210-OutOfPlane!$D$217,OutOfPlane!$I$171:$I$210)</f>
        <v/>
      </c>
      <c r="H217" s="3">
        <f>-(OutOfPlane!$B$33-OutOfPlane!$D$217)*OutOfPlane!$B$34</f>
        <v/>
      </c>
      <c r="I217" s="3">
        <f>OutOfPlane!$E$217+OutOfPlane!$F$217+OutOfPlane!$G$217+OutOfPlane!$H$217</f>
        <v/>
      </c>
      <c r="J217" s="3">
        <f>SUMPRODUCT(OutOfPlane!$D$39:$D$78-OutOfPlane!$C$217,OutOfPlane!$J$39:$J$78)-SUMPRODUCT(OutOfPlane!$E$39:$E$78,OutOfPlane!$H$39:$H$78)</f>
        <v/>
      </c>
      <c r="K217" s="3">
        <f>SUMPRODUCT(OutOfPlane!$C$85:$C$164-OutOfPlane!$C$217,OutOfPlane!$H$85:$H$164)</f>
        <v/>
      </c>
      <c r="L217" s="3">
        <f>SUMPRODUCT(OutOfPlane!$D$171:$D$210-OutOfPlane!$C$217,OutOfPlane!$I$171:$I$210)</f>
        <v/>
      </c>
      <c r="M217" s="3">
        <f>(OutOfPlane!$B$32-OutOfPlane!$C$217)*OutOfPlane!$B$34</f>
        <v/>
      </c>
      <c r="N217" s="3">
        <f>OutOfPlane!$J$217+OutOfPlane!$K$217+OutOfPlane!$L$217+OutOfPlane!$M$217</f>
        <v/>
      </c>
    </row>
    <row r="218">
      <c r="A218" t="inlineStr">
        <is>
          <t>front_leg</t>
        </is>
      </c>
      <c r="B218" t="inlineStr">
        <is>
          <t>front_base</t>
        </is>
      </c>
      <c r="C218" s="3">
        <f>Statics!$B$22</f>
        <v/>
      </c>
      <c r="D218" s="3">
        <f>Statics!$B$23</f>
        <v/>
      </c>
      <c r="E218" s="3">
        <f>SUMPRODUCT(OutOfPlane!$E$39:$E$78,OutOfPlane!$I$39:$I$78)-SUMPRODUCT(OutOfPlane!$F$39:$F$78-OutOfPlane!$D$218,OutOfPlane!$J$39:$J$78)</f>
        <v/>
      </c>
      <c r="F218" s="3">
        <f>-SUMPRODUCT(OutOfPlane!$D$85:$D$164-OutOfPlane!$D$218,OutOfPlane!$H$85:$H$164)</f>
        <v/>
      </c>
      <c r="G218" s="3">
        <f>-SUMPRODUCT(OutOfPlane!$E$171:$E$210-OutOfPlane!$D$218,OutOfPlane!$I$171:$I$210)</f>
        <v/>
      </c>
      <c r="H218" s="3">
        <f>-(OutOfPlane!$B$33-OutOfPlane!$D$218)*OutOfPlane!$B$34</f>
        <v/>
      </c>
      <c r="I218" s="3">
        <f>OutOfPlane!$E$218+OutOfPlane!$F$218+OutOfPlane!$G$218+OutOfPlane!$H$218</f>
        <v/>
      </c>
      <c r="J218" s="3">
        <f>SUMPRODUCT(OutOfPlane!$D$39:$D$78-OutOfPlane!$C$218,OutOfPlane!$J$39:$J$78)-SUMPRODUCT(OutOfPlane!$E$39:$E$78,OutOfPlane!$H$39:$H$78)</f>
        <v/>
      </c>
      <c r="K218" s="3">
        <f>SUMPRODUCT(OutOfPlane!$C$85:$C$164-OutOfPlane!$C$218,OutOfPlane!$H$85:$H$164)</f>
        <v/>
      </c>
      <c r="L218" s="3">
        <f>SUMPRODUCT(OutOfPlane!$D$171:$D$210-OutOfPlane!$C$218,OutOfPlane!$I$171:$I$210)</f>
        <v/>
      </c>
      <c r="M218" s="3">
        <f>(OutOfPlane!$B$32-OutOfPlane!$C$218)*OutOfPlane!$B$34</f>
        <v/>
      </c>
      <c r="N218" s="3">
        <f>OutOfPlane!$J$218+OutOfPlane!$K$218+OutOfPlane!$L$218+OutOfPlane!$M$218</f>
        <v/>
      </c>
    </row>
    <row r="219">
      <c r="A219" t="inlineStr">
        <is>
          <t>rear_leg</t>
        </is>
      </c>
      <c r="B219" t="inlineStr">
        <is>
          <t>rear_base</t>
        </is>
      </c>
      <c r="C219" s="3">
        <f>Statics!$B$18</f>
        <v/>
      </c>
      <c r="D219" s="3">
        <f>Statics!$B$19</f>
        <v/>
      </c>
      <c r="E219" s="3">
        <f>SUMPRODUCT(OutOfPlane!$E$39:$E$78,OutOfPlane!$I$39:$I$78)-SUMPRODUCT(OutOfPlane!$F$39:$F$78-OutOfPlane!$D$219,OutOfPlane!$J$39:$J$78)</f>
        <v/>
      </c>
      <c r="F219" s="3">
        <f>-SUMPRODUCT(OutOfPlane!$D$85:$D$164-OutOfPlane!$D$219,OutOfPlane!$H$85:$H$164)</f>
        <v/>
      </c>
      <c r="G219" s="3">
        <f>-SUMPRODUCT(OutOfPlane!$E$171:$E$210-OutOfPlane!$D$219,OutOfPlane!$I$171:$I$210)</f>
        <v/>
      </c>
      <c r="H219" s="3">
        <f>-(OutOfPlane!$B$33-OutOfPlane!$D$219)*OutOfPlane!$B$34</f>
        <v/>
      </c>
      <c r="I219" s="3">
        <f>OutOfPlane!$E$219+OutOfPlane!$F$219+OutOfPlane!$G$219+OutOfPlane!$H$219</f>
        <v/>
      </c>
      <c r="J219" s="3">
        <f>SUMPRODUCT(OutOfPlane!$D$39:$D$78-OutOfPlane!$C$219,OutOfPlane!$J$39:$J$78)-SUMPRODUCT(OutOfPlane!$E$39:$E$78,OutOfPlane!$H$39:$H$78)</f>
        <v/>
      </c>
      <c r="K219" s="3">
        <f>SUMPRODUCT(OutOfPlane!$C$85:$C$164-OutOfPlane!$C$219,OutOfPlane!$H$85:$H$164)</f>
        <v/>
      </c>
      <c r="L219" s="3">
        <f>SUMPRODUCT(OutOfPlane!$D$171:$D$210-OutOfPlane!$C$219,OutOfPlane!$I$171:$I$210)</f>
        <v/>
      </c>
      <c r="M219" s="3">
        <f>(OutOfPlane!$B$32-OutOfPlane!$C$219)*OutOfPlane!$B$34</f>
        <v/>
      </c>
      <c r="N219" s="3">
        <f>OutOfPlane!$J$219+OutOfPlane!$K$219+OutOfPlane!$L$219+OutOfPlane!$M$219</f>
        <v/>
      </c>
    </row>
    <row r="220">
      <c r="A220" t="inlineStr">
        <is>
          <t>platform_base</t>
        </is>
      </c>
      <c r="B220" t="inlineStr">
        <is>
          <t>platform_heel</t>
        </is>
      </c>
      <c r="C220" s="3">
        <f>Statics!$B$26</f>
        <v/>
      </c>
      <c r="D220" s="3">
        <f>Statics!$B$27</f>
        <v/>
      </c>
      <c r="E220" s="3">
        <f>SUMPRODUCT(OutOfPlane!$E$39:$E$78,OutOfPlane!$I$39:$I$78)-SUMPRODUCT(OutOfPlane!$F$39:$F$78-OutOfPlane!$D$220,OutOfPlane!$J$39:$J$78)</f>
        <v/>
      </c>
      <c r="F220" s="3">
        <f>-SUMPRODUCT(OutOfPlane!$D$85:$D$164-OutOfPlane!$D$220,OutOfPlane!$H$85:$H$164)</f>
        <v/>
      </c>
      <c r="G220" s="3">
        <f>-SUMPRODUCT(OutOfPlane!$E$171:$E$210-OutOfPlane!$D$220,OutOfPlane!$I$171:$I$210)</f>
        <v/>
      </c>
      <c r="H220" s="3">
        <f>-(OutOfPlane!$B$33-OutOfPlane!$D$220)*OutOfPlane!$B$34</f>
        <v/>
      </c>
      <c r="I220" s="3">
        <f>OutOfPlane!$E$220+OutOfPlane!$F$220+OutOfPlane!$G$220+OutOfPlane!$H$220</f>
        <v/>
      </c>
      <c r="J220" s="3">
        <f>SUMPRODUCT(OutOfPlane!$D$39:$D$78-OutOfPlane!$C$220,OutOfPlane!$J$39:$J$78)-SUMPRODUCT(OutOfPlane!$E$39:$E$78,OutOfPlane!$H$39:$H$78)</f>
        <v/>
      </c>
      <c r="K220" s="3">
        <f>SUMPRODUCT(OutOfPlane!$C$85:$C$164-OutOfPlane!$C$220,OutOfPlane!$H$85:$H$164)</f>
        <v/>
      </c>
      <c r="L220" s="3">
        <f>SUMPRODUCT(OutOfPlane!$D$171:$D$210-OutOfPlane!$C$220,OutOfPlane!$I$171:$I$210)</f>
        <v/>
      </c>
      <c r="M220" s="3">
        <f>(OutOfPlane!$B$32-OutOfPlane!$C$220)*OutOfPlane!$B$34</f>
        <v/>
      </c>
      <c r="N220" s="3">
        <f>OutOfPlane!$J$220+OutOfPlane!$K$220+OutOfPlane!$L$220+OutOfPlane!$M$220</f>
        <v/>
      </c>
    </row>
    <row r="224">
      <c r="A224" s="6" t="inlineStr">
        <is>
          <t>Left/right split</t>
        </is>
      </c>
    </row>
    <row r="225">
      <c r="A225" s="8" t="inlineStr">
        <is>
          <t>Side support</t>
        </is>
      </c>
      <c r="B225" s="8" t="inlineStr">
        <is>
          <t>Support group</t>
        </is>
      </c>
      <c r="C225" s="8" t="inlineStr">
        <is>
          <t>In-plane total</t>
        </is>
      </c>
      <c r="D225" s="8" t="inlineStr">
        <is>
          <t>Side sign [+1/-1]</t>
        </is>
      </c>
      <c r="E225" s="8" t="inlineStr">
        <is>
          <t>Total Fx (in-plane reaction) [kN]</t>
        </is>
      </c>
      <c r="F225" s="8" t="inlineStr">
        <is>
          <t>Total Fz (in-plane reaction) [kN]</t>
        </is>
      </c>
      <c r="G225" s="8" t="inlineStr">
        <is>
          <t>Mz about the group [kNm]</t>
        </is>
      </c>
      <c r="H225" s="8" t="inlineStr">
        <is>
          <t>Mx about the group [kNm]</t>
        </is>
      </c>
      <c r="I225" s="8" t="inlineStr">
        <is>
          <t>Fx = 0.5 total Fx + side Mz / width [kN]</t>
        </is>
      </c>
      <c r="J225" s="8" t="inlineStr">
        <is>
          <t>Fz = 0.5 total Fz + side Mx / width [kN]</t>
        </is>
      </c>
    </row>
    <row r="226">
      <c r="A226" s="7" t="inlineStr">
        <is>
          <t>entity</t>
        </is>
      </c>
      <c r="B226" s="7" t="inlineStr">
        <is>
          <t>group</t>
        </is>
      </c>
      <c r="C226" s="7" t="inlineStr">
        <is>
          <t>total_entity</t>
        </is>
      </c>
      <c r="D226" s="7" t="inlineStr">
        <is>
          <t>side (+1 left, -1 right)</t>
        </is>
      </c>
      <c r="E226" s="7" t="inlineStr">
        <is>
          <t>total_fx (Statics)</t>
        </is>
      </c>
      <c r="F226" s="7" t="inlineStr">
        <is>
          <t>total_fz (Statics)</t>
        </is>
      </c>
      <c r="G226" s="7" t="inlineStr">
        <is>
          <t>mz</t>
        </is>
      </c>
      <c r="H226" s="7" t="inlineStr">
        <is>
          <t>mx</t>
        </is>
      </c>
      <c r="I226" s="7" t="inlineStr">
        <is>
          <t>fx (0 if width &lt;= 0)</t>
        </is>
      </c>
      <c r="J226" s="7" t="inlineStr">
        <is>
          <t>fz (0 if width &lt;= 0)</t>
        </is>
      </c>
    </row>
    <row r="227">
      <c r="A227" t="inlineStr">
        <is>
          <t>heel_left</t>
        </is>
      </c>
      <c r="B227" t="inlineStr">
        <is>
          <t>heel</t>
        </is>
      </c>
      <c r="C227" t="inlineStr">
        <is>
          <t>heel_point</t>
        </is>
      </c>
      <c r="D227" t="n">
        <v>1</v>
      </c>
      <c r="E227" s="3">
        <f>Statics!$H$35</f>
        <v/>
      </c>
      <c r="F227" s="3">
        <f>Statics!$H$36</f>
        <v/>
      </c>
      <c r="G227" s="3">
        <f>OutOfPlane!$N$217</f>
        <v/>
      </c>
      <c r="H227" s="3">
        <f>OutOfPlane!$I$217</f>
        <v/>
      </c>
      <c r="I227" s="3">
        <f>IF(OutOfPlane!$B$21=1,0.5*OutOfPlane!$E$227+OutOfPlane!$D$227*OutOfPlane!$G$227/OutOfPlane!$B$20,0)</f>
        <v/>
      </c>
      <c r="J227" s="3">
        <f>IF(OutOfPlane!$B$21=1,0.5*OutOfPlane!$F$227+OutOfPlane!$D$227*OutOfPlane!$H$227/OutOfPlane!$B$20,0)</f>
        <v/>
      </c>
    </row>
    <row r="228">
      <c r="A228" t="inlineStr">
        <is>
          <t>heel_right</t>
        </is>
      </c>
      <c r="B228" t="inlineStr">
        <is>
          <t>heel</t>
        </is>
      </c>
      <c r="C228" t="inlineStr">
        <is>
          <t>heel_point</t>
        </is>
      </c>
      <c r="D228" t="n">
        <v>-1</v>
      </c>
      <c r="E228" s="3">
        <f>Statics!$H$35</f>
        <v/>
      </c>
      <c r="F228" s="3">
        <f>Statics!$H$36</f>
        <v/>
      </c>
      <c r="G228" s="3">
        <f>OutOfPlane!$N$217</f>
        <v/>
      </c>
      <c r="H228" s="3">
        <f>OutOfPlane!$I$217</f>
        <v/>
      </c>
      <c r="I228" s="3">
        <f>IF(OutOfPlane!$B$21=1,0.5*OutOfPlane!$E$228+OutOfPlane!$D$228*OutOfPlane!$G$228/OutOfPlane!$B$20,0)</f>
        <v/>
      </c>
      <c r="J228" s="3">
        <f>IF(OutOfPlane!$B$21=1,0.5*OutOfPlane!$F$228+OutOfPlane!$D$228*OutOfPlane!$H$228/OutOfPlane!$B$20,0)</f>
        <v/>
      </c>
    </row>
    <row r="229">
      <c r="A229" t="inlineStr">
        <is>
          <t>front_leg_left</t>
        </is>
      </c>
      <c r="B229" t="inlineStr">
        <is>
          <t>front_leg</t>
        </is>
      </c>
      <c r="C229" t="inlineStr">
        <is>
          <t>front_hinge</t>
        </is>
      </c>
      <c r="D229" t="n">
        <v>1</v>
      </c>
      <c r="E229" s="3">
        <f>Statics!$K$55</f>
        <v/>
      </c>
      <c r="F229" s="3">
        <f>Statics!$K$56</f>
        <v/>
      </c>
      <c r="G229" s="3">
        <f>OutOfPlane!$N$218</f>
        <v/>
      </c>
      <c r="H229" s="3">
        <f>OutOfPlane!$I$218</f>
        <v/>
      </c>
      <c r="I229" s="3">
        <f>IF(OutOfPlane!$B$21=1,0.5*OutOfPlane!$E$229+OutOfPlane!$D$229*OutOfPlane!$G$229/OutOfPlane!$B$20,0)</f>
        <v/>
      </c>
      <c r="J229" s="3">
        <f>IF(OutOfPlane!$B$21=1,0.5*OutOfPlane!$F$229+OutOfPlane!$D$229*OutOfPlane!$H$229/OutOfPlane!$B$20,0)</f>
        <v/>
      </c>
    </row>
    <row r="230">
      <c r="A230" t="inlineStr">
        <is>
          <t>front_leg_right</t>
        </is>
      </c>
      <c r="B230" t="inlineStr">
        <is>
          <t>front_leg</t>
        </is>
      </c>
      <c r="C230" t="inlineStr">
        <is>
          <t>front_hinge</t>
        </is>
      </c>
      <c r="D230" t="n">
        <v>-1</v>
      </c>
      <c r="E230" s="3">
        <f>Statics!$K$55</f>
        <v/>
      </c>
      <c r="F230" s="3">
        <f>Statics!$K$56</f>
        <v/>
      </c>
      <c r="G230" s="3">
        <f>OutOfPlane!$N$218</f>
        <v/>
      </c>
      <c r="H230" s="3">
        <f>OutOfPlane!$I$218</f>
        <v/>
      </c>
      <c r="I230" s="3">
        <f>IF(OutOfPlane!$B$21=1,0.5*OutOfPlane!$E$230+OutOfPlane!$D$230*OutOfPlane!$G$230/OutOfPlane!$B$20,0)</f>
        <v/>
      </c>
      <c r="J230" s="3">
        <f>IF(OutOfPlane!$B$21=1,0.5*OutOfPlane!$F$230+OutOfPlane!$D$230*OutOfPlane!$H$230/OutOfPlane!$B$20,0)</f>
        <v/>
      </c>
    </row>
    <row r="231">
      <c r="A231" t="inlineStr">
        <is>
          <t>rear_leg_left</t>
        </is>
      </c>
      <c r="B231" t="inlineStr">
        <is>
          <t>rear_leg</t>
        </is>
      </c>
      <c r="C231" t="inlineStr">
        <is>
          <t>rear_hinge</t>
        </is>
      </c>
      <c r="D231" t="n">
        <v>1</v>
      </c>
      <c r="E231" s="3">
        <f>Statics!$K$53</f>
        <v/>
      </c>
      <c r="F231" s="3">
        <f>Statics!$K$54</f>
        <v/>
      </c>
      <c r="G231" s="3">
        <f>OutOfPlane!$N$219</f>
        <v/>
      </c>
      <c r="H231" s="3">
        <f>OutOfPlane!$I$219</f>
        <v/>
      </c>
      <c r="I231" s="3">
        <f>IF(OutOfPlane!$B$21=1,0.5*OutOfPlane!$E$231+OutOfPlane!$D$231*OutOfPlane!$G$231/OutOfPlane!$B$20,0)</f>
        <v/>
      </c>
      <c r="J231" s="3">
        <f>IF(OutOfPlane!$B$21=1,0.5*OutOfPlane!$F$231+OutOfPlane!$D$231*OutOfPlane!$H$231/OutOfPlane!$B$20,0)</f>
        <v/>
      </c>
    </row>
    <row r="232">
      <c r="A232" t="inlineStr">
        <is>
          <t>rear_leg_right</t>
        </is>
      </c>
      <c r="B232" t="inlineStr">
        <is>
          <t>rear_leg</t>
        </is>
      </c>
      <c r="C232" t="inlineStr">
        <is>
          <t>rear_hinge</t>
        </is>
      </c>
      <c r="D232" t="n">
        <v>-1</v>
      </c>
      <c r="E232" s="3">
        <f>Statics!$K$53</f>
        <v/>
      </c>
      <c r="F232" s="3">
        <f>Statics!$K$54</f>
        <v/>
      </c>
      <c r="G232" s="3">
        <f>OutOfPlane!$N$219</f>
        <v/>
      </c>
      <c r="H232" s="3">
        <f>OutOfPlane!$I$219</f>
        <v/>
      </c>
      <c r="I232" s="3">
        <f>IF(OutOfPlane!$B$21=1,0.5*OutOfPlane!$E$232+OutOfPlane!$D$232*OutOfPlane!$G$232/OutOfPlane!$B$20,0)</f>
        <v/>
      </c>
      <c r="J232" s="3">
        <f>IF(OutOfPlane!$B$21=1,0.5*OutOfPlane!$F$232+OutOfPlane!$D$232*OutOfPlane!$H$232/OutOfPlane!$B$20,0)</f>
        <v/>
      </c>
    </row>
    <row r="236">
      <c r="A236" s="6" t="inlineStr">
        <is>
          <t>Platform base Fy and Mx</t>
        </is>
      </c>
    </row>
    <row r="237">
      <c r="A237" t="inlineStr">
        <is>
          <t>Fy of the mass points</t>
        </is>
      </c>
      <c r="B237" s="3">
        <f>SUM(OutOfPlane!$J$39:$J$78)</f>
        <v/>
      </c>
      <c r="C237" t="inlineStr">
        <is>
          <t>kN</t>
        </is>
      </c>
      <c r="D237" s="7" t="inlineStr">
        <is>
          <t>fy_masses</t>
        </is>
      </c>
    </row>
    <row r="238">
      <c r="A238" t="inlineStr">
        <is>
          <t>Fy of the lumped masses</t>
        </is>
      </c>
      <c r="B238" s="3">
        <f>SUM(OutOfPlane!$H$85:$H$164)</f>
        <v/>
      </c>
      <c r="C238" t="inlineStr">
        <is>
          <t>kN</t>
        </is>
      </c>
      <c r="D238" s="7" t="inlineStr">
        <is>
          <t>fy_lumped</t>
        </is>
      </c>
    </row>
    <row r="239">
      <c r="A239" t="inlineStr">
        <is>
          <t>Fy of the Y wind</t>
        </is>
      </c>
      <c r="B239" s="3">
        <f>SUM(OutOfPlane!$I$171:$I$210)</f>
        <v/>
      </c>
      <c r="C239" t="inlineStr">
        <is>
          <t>kN</t>
        </is>
      </c>
      <c r="D239" s="7" t="inlineStr">
        <is>
          <t>fy_wind</t>
        </is>
      </c>
    </row>
    <row r="240">
      <c r="A240" t="inlineStr">
        <is>
          <t>Side force</t>
        </is>
      </c>
      <c r="B240" s="3">
        <f>OutOfPlane!$B$34</f>
        <v/>
      </c>
      <c r="C240" t="inlineStr">
        <is>
          <t>kN</t>
        </is>
      </c>
      <c r="D240" s="7" t="inlineStr">
        <is>
          <t>fy_side</t>
        </is>
      </c>
    </row>
    <row r="241">
      <c r="A241" t="inlineStr">
        <is>
          <t>Platform base Fy = sum of applied Fy</t>
        </is>
      </c>
      <c r="B241" s="3">
        <f>OutOfPlane!$B$237+OutOfPlane!$B$238+OutOfPlane!$B$239+OutOfPlane!$B$240</f>
        <v/>
      </c>
      <c r="C241" t="inlineStr">
        <is>
          <t>kN</t>
        </is>
      </c>
      <c r="D241" s="7" t="inlineStr">
        <is>
          <t>fy_kN  -- reaction.platform_base.fy</t>
        </is>
      </c>
    </row>
    <row r="242">
      <c r="A242" t="inlineStr">
        <is>
          <t>Platform base Mx = Mx about platform_heel</t>
        </is>
      </c>
      <c r="B242" s="3">
        <f>OutOfPlane!$I$220</f>
        <v/>
      </c>
      <c r="C242" t="inlineStr">
        <is>
          <t>kNm</t>
        </is>
      </c>
      <c r="D242" s="7" t="inlineStr">
        <is>
          <t>mx_kNm  -- platform_base.mx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44" customWidth="1" min="1" max="1"/>
    <col width="22" customWidth="1" min="2" max="2"/>
    <col width="22" customWidth="1" min="3" max="3"/>
    <col width="22" customWidth="1" min="4" max="4"/>
    <col width="22" customWidth="1" min="5" max="5"/>
    <col width="22" customWidth="1" min="6" max="6"/>
  </cols>
  <sheetData>
    <row r="1">
      <c r="A1" s="1" t="inlineStr">
        <is>
          <t>Results -- rope tensions and support reactions</t>
        </is>
      </c>
    </row>
    <row r="3">
      <c r="A3" s="9" t="inlineStr">
        <is>
          <t>What the Scene results table shows (core/analysis_services.py compute_result_rows), for the operating state on Inputs. Units: kN, kNm.</t>
        </is>
      </c>
    </row>
    <row r="4">
      <c r="A4" s="9" t="inlineStr">
        <is>
          <t>Rope tensions: the solve rope's hoist reads T_bh (Statics); fixed ropes read their Loads tension (scene hoist: hook load / parts; idle hoists: hook mass x (|g| + az') / parts).</t>
        </is>
      </c>
    </row>
    <row r="5">
      <c r="A5" s="9" t="inlineStr">
        <is>
          <t>Reactions (calculation/solver/crane_solver.py _reactions_from_raw): heel_point = (Hx, Hz), rear_hinge = R_rb, front_hinge = R_fb, upper_hinge = R_top, platform_base = (r_g_x, r_g_z, m_g). Support reactions: weight gives positive Fz. Pinned supports carry no moment.</t>
        </is>
      </c>
    </row>
    <row r="6">
      <c r="A6" s="9" t="inlineStr">
        <is>
          <t>resultant = sqrt(Fx^2 + Fz^2); leg_axial = Fx ux + Fz uz and leg_normal = -Fx uz + Fz ux along base -&gt; top (core/demand_extraction.py, calculation/engine.py resolve_connection_component_linear_response).</t>
        </is>
      </c>
    </row>
    <row r="7">
      <c r="A7" s="9" t="inlineStr">
        <is>
          <t>When Statics has no solution (no solve rope, or a singular matrix) or the boom width is not &gt; 0, every value cell shows the reason instead of a number, as the app shows no results.</t>
        </is>
      </c>
    </row>
    <row r="8">
      <c r="A8" s="9" t="inlineStr">
        <is>
          <t>Out-of-plane rows (OutOfPlane sheet, calculation/engine.py _out_of_plane_variants): heel_left/heel_right = 0.5 heel_point +/- M_heel / boom width (the app's split), platform base Fy/Mx with the sign of the applied loads; fradial = sqrt(Fx^2 + Fy^2), mradial = sqrt(Mx^2 + My^2), bearing line loads Fz/(pi D) +/- 4 mradial/(pi D^2) (min shows uplift only, core/demand_extraction.py); n/a without a bearing diameter (the app hides them).</t>
        </is>
      </c>
    </row>
    <row r="11">
      <c r="A11" s="6" t="inlineStr">
        <is>
          <t>Status</t>
        </is>
      </c>
    </row>
    <row r="12">
      <c r="A12" t="inlineStr">
        <is>
          <t>Results valid</t>
        </is>
      </c>
      <c r="B12" s="3">
        <f>IF(AND(Statics!$B$13=1,OutOfPlane!$B$21=1),1,0)</f>
        <v/>
      </c>
      <c r="C12" t="inlineStr">
        <is>
          <t>1/0</t>
        </is>
      </c>
      <c r="D12" s="7" t="inlineStr">
        <is>
          <t>ok  -- Statics ok and boom width &gt; 0</t>
        </is>
      </c>
    </row>
    <row r="13">
      <c r="A13" t="inlineStr">
        <is>
          <t>Short reason (shown in the value cells)</t>
        </is>
      </c>
      <c r="B13" s="3">
        <f>IF(Results!$B$12=1,"",IF(Statics!$B$10=0,"no solve rope",IF(OR(Statics!$B$11=1,Statics!$B$12=1),"singular matrix",IF(OutOfPlane!$B$21&lt;&gt;1,"boom width must be &gt; 0","no solution"))))</f>
        <v/>
      </c>
      <c r="D13" s="7" t="inlineStr">
        <is>
          <t>reason</t>
        </is>
      </c>
    </row>
    <row r="14">
      <c r="A14" t="inlineStr">
        <is>
          <t>Status</t>
        </is>
      </c>
      <c r="B14" s="3">
        <f>IF(Results!$B$12=1,"OK",IF(Statics!$B$10=0,"No solve rope: no active rope has role solve (Inputs ropes), so the boom matrix is singular and the app shows no results",IF(OR(Statics!$B$11=1,Statics!$B$12=1),"Singular matrix on Statics (boom 3x3 or leg frame 6x6): the app finds no solution and shows no results",IF(OutOfPlane!$B$21&lt;&gt;1,"Boom width (Inputs structure) must be &gt; 0: the app rejects it and its out-of-plane split divides by it, so it shows no results","No solution"))))</f>
        <v/>
      </c>
      <c r="D14" s="7" t="inlineStr">
        <is>
          <t>message</t>
        </is>
      </c>
    </row>
    <row r="16">
      <c r="A16" s="6" t="inlineStr">
        <is>
          <t>Rope tensions per hoist (row i = Inputs hoists row i)</t>
        </is>
      </c>
    </row>
    <row r="17">
      <c r="A17" s="8" t="inlineStr">
        <is>
          <t>Active [1/0]</t>
        </is>
      </c>
      <c r="B17" s="8" t="inlineStr">
        <is>
          <t>Hoist</t>
        </is>
      </c>
      <c r="C17" s="8" t="inlineStr">
        <is>
          <t>Rope id</t>
        </is>
      </c>
      <c r="D17" s="8" t="inlineStr">
        <is>
          <t>Rope role</t>
        </is>
      </c>
      <c r="E17" s="8" t="inlineStr">
        <is>
          <t>Rope tension T [kN]</t>
        </is>
      </c>
    </row>
    <row r="18">
      <c r="A18" s="7" t="inlineStr">
        <is>
          <t>active (from Inputs)</t>
        </is>
      </c>
      <c r="B18" s="7" t="inlineStr">
        <is>
          <t>hoist_id (result key tension.&lt;hoist&gt;)</t>
        </is>
      </c>
      <c r="C18" s="7" t="inlineStr">
        <is>
          <t>rope_id</t>
        </is>
      </c>
      <c r="D18" s="7" t="inlineStr">
        <is>
          <t>role ('' if the rope is missing)</t>
        </is>
      </c>
      <c r="E18" s="7" t="inlineStr">
        <is>
          <t>tension_kN</t>
        </is>
      </c>
    </row>
    <row r="19">
      <c r="A19" s="3">
        <f>Inputs!$A$304</f>
        <v/>
      </c>
      <c r="B19" s="3">
        <f>IF(Results!$A$19=1,Inputs!$B$304&amp;"","")</f>
        <v/>
      </c>
      <c r="C19" s="3">
        <f>IF(Results!$A$19=1,Inputs!$C$304&amp;"","")</f>
        <v/>
      </c>
      <c r="D19" s="3">
        <f>IF(Results!$C$19="","",IFERROR(INDEX(Loads!$D$125:$D$132,MATCH(Results!$C$19,Loads!$C$125:$C$132,0))&amp;"",""))</f>
        <v/>
      </c>
      <c r="E19" s="3">
        <f>IF(Results!$A$19&lt;&gt;1,0,IF(Results!$B$12&lt;&gt;1,Results!$B$13,IF(Results!$D$19="solve",Statics!$H$37,IF(Results!$D$19="",0,INDEX(Loads!$K$125:$K$132,MATCH(Results!$C$19,Loads!$C$125:$C$132,0))))))</f>
        <v/>
      </c>
    </row>
    <row r="20">
      <c r="A20" s="3">
        <f>Inputs!$A$305</f>
        <v/>
      </c>
      <c r="B20" s="3">
        <f>IF(Results!$A$20=1,Inputs!$B$305&amp;"","")</f>
        <v/>
      </c>
      <c r="C20" s="3">
        <f>IF(Results!$A$20=1,Inputs!$C$305&amp;"","")</f>
        <v/>
      </c>
      <c r="D20" s="3">
        <f>IF(Results!$C$20="","",IFERROR(INDEX(Loads!$D$125:$D$132,MATCH(Results!$C$20,Loads!$C$125:$C$132,0))&amp;"",""))</f>
        <v/>
      </c>
      <c r="E20" s="3">
        <f>IF(Results!$A$20&lt;&gt;1,0,IF(Results!$B$12&lt;&gt;1,Results!$B$13,IF(Results!$D$20="solve",Statics!$H$37,IF(Results!$D$20="",0,INDEX(Loads!$K$125:$K$132,MATCH(Results!$C$20,Loads!$C$125:$C$132,0))))))</f>
        <v/>
      </c>
    </row>
    <row r="21">
      <c r="A21" s="3">
        <f>Inputs!$A$306</f>
        <v/>
      </c>
      <c r="B21" s="3">
        <f>IF(Results!$A$21=1,Inputs!$B$306&amp;"","")</f>
        <v/>
      </c>
      <c r="C21" s="3">
        <f>IF(Results!$A$21=1,Inputs!$C$306&amp;"","")</f>
        <v/>
      </c>
      <c r="D21" s="3">
        <f>IF(Results!$C$21="","",IFERROR(INDEX(Loads!$D$125:$D$132,MATCH(Results!$C$21,Loads!$C$125:$C$132,0))&amp;"",""))</f>
        <v/>
      </c>
      <c r="E21" s="3">
        <f>IF(Results!$A$21&lt;&gt;1,0,IF(Results!$B$12&lt;&gt;1,Results!$B$13,IF(Results!$D$21="solve",Statics!$H$37,IF(Results!$D$21="",0,INDEX(Loads!$K$125:$K$132,MATCH(Results!$C$21,Loads!$C$125:$C$132,0))))))</f>
        <v/>
      </c>
    </row>
    <row r="22">
      <c r="A22" s="3">
        <f>Inputs!$A$307</f>
        <v/>
      </c>
      <c r="B22" s="3">
        <f>IF(Results!$A$22=1,Inputs!$B$307&amp;"","")</f>
        <v/>
      </c>
      <c r="C22" s="3">
        <f>IF(Results!$A$22=1,Inputs!$C$307&amp;"","")</f>
        <v/>
      </c>
      <c r="D22" s="3">
        <f>IF(Results!$C$22="","",IFERROR(INDEX(Loads!$D$125:$D$132,MATCH(Results!$C$22,Loads!$C$125:$C$132,0))&amp;"",""))</f>
        <v/>
      </c>
      <c r="E22" s="3">
        <f>IF(Results!$A$22&lt;&gt;1,0,IF(Results!$B$12&lt;&gt;1,Results!$B$13,IF(Results!$D$22="solve",Statics!$H$37,IF(Results!$D$22="",0,INDEX(Loads!$K$125:$K$132,MATCH(Results!$C$22,Loads!$C$125:$C$132,0))))))</f>
        <v/>
      </c>
    </row>
    <row r="23">
      <c r="A23" s="3">
        <f>Inputs!$A$308</f>
        <v/>
      </c>
      <c r="B23" s="3">
        <f>IF(Results!$A$23=1,Inputs!$B$308&amp;"","")</f>
        <v/>
      </c>
      <c r="C23" s="3">
        <f>IF(Results!$A$23=1,Inputs!$C$308&amp;"","")</f>
        <v/>
      </c>
      <c r="D23" s="3">
        <f>IF(Results!$C$23="","",IFERROR(INDEX(Loads!$D$125:$D$132,MATCH(Results!$C$23,Loads!$C$125:$C$132,0))&amp;"",""))</f>
        <v/>
      </c>
      <c r="E23" s="3">
        <f>IF(Results!$A$23&lt;&gt;1,0,IF(Results!$B$12&lt;&gt;1,Results!$B$13,IF(Results!$D$23="solve",Statics!$H$37,IF(Results!$D$23="",0,INDEX(Loads!$K$125:$K$132,MATCH(Results!$C$23,Loads!$C$125:$C$132,0))))))</f>
        <v/>
      </c>
    </row>
    <row r="24">
      <c r="A24" s="3">
        <f>Inputs!$A$309</f>
        <v/>
      </c>
      <c r="B24" s="3">
        <f>IF(Results!$A$24=1,Inputs!$B$309&amp;"","")</f>
        <v/>
      </c>
      <c r="C24" s="3">
        <f>IF(Results!$A$24=1,Inputs!$C$309&amp;"","")</f>
        <v/>
      </c>
      <c r="D24" s="3">
        <f>IF(Results!$C$24="","",IFERROR(INDEX(Loads!$D$125:$D$132,MATCH(Results!$C$24,Loads!$C$125:$C$132,0))&amp;"",""))</f>
        <v/>
      </c>
      <c r="E24" s="3">
        <f>IF(Results!$A$24&lt;&gt;1,0,IF(Results!$B$12&lt;&gt;1,Results!$B$13,IF(Results!$D$24="solve",Statics!$H$37,IF(Results!$D$24="",0,INDEX(Loads!$K$125:$K$132,MATCH(Results!$C$24,Loads!$C$125:$C$132,0))))))</f>
        <v/>
      </c>
    </row>
    <row r="25">
      <c r="A25" s="3">
        <f>Inputs!$A$310</f>
        <v/>
      </c>
      <c r="B25" s="3">
        <f>IF(Results!$A$25=1,Inputs!$B$310&amp;"","")</f>
        <v/>
      </c>
      <c r="C25" s="3">
        <f>IF(Results!$A$25=1,Inputs!$C$310&amp;"","")</f>
        <v/>
      </c>
      <c r="D25" s="3">
        <f>IF(Results!$C$25="","",IFERROR(INDEX(Loads!$D$125:$D$132,MATCH(Results!$C$25,Loads!$C$125:$C$132,0))&amp;"",""))</f>
        <v/>
      </c>
      <c r="E25" s="3">
        <f>IF(Results!$A$25&lt;&gt;1,0,IF(Results!$B$12&lt;&gt;1,Results!$B$13,IF(Results!$D$25="solve",Statics!$H$37,IF(Results!$D$25="",0,INDEX(Loads!$K$125:$K$132,MATCH(Results!$C$25,Loads!$C$125:$C$132,0))))))</f>
        <v/>
      </c>
    </row>
    <row r="26">
      <c r="A26" s="3">
        <f>Inputs!$A$311</f>
        <v/>
      </c>
      <c r="B26" s="3">
        <f>IF(Results!$A$26=1,Inputs!$B$311&amp;"","")</f>
        <v/>
      </c>
      <c r="C26" s="3">
        <f>IF(Results!$A$26=1,Inputs!$C$311&amp;"","")</f>
        <v/>
      </c>
      <c r="D26" s="3">
        <f>IF(Results!$C$26="","",IFERROR(INDEX(Loads!$D$125:$D$132,MATCH(Results!$C$26,Loads!$C$125:$C$132,0))&amp;"",""))</f>
        <v/>
      </c>
      <c r="E26" s="3">
        <f>IF(Results!$A$26&lt;&gt;1,0,IF(Results!$B$12&lt;&gt;1,Results!$B$13,IF(Results!$D$26="solve",Statics!$H$37,IF(Results!$D$26="",0,INDEX(Loads!$K$125:$K$132,MATCH(Results!$C$26,Loads!$C$125:$C$132,0))))))</f>
        <v/>
      </c>
    </row>
    <row r="30">
      <c r="A30" s="6" t="inlineStr">
        <is>
          <t>Support reactions</t>
        </is>
      </c>
    </row>
    <row r="31">
      <c r="A31" s="8" t="inlineStr">
        <is>
          <t>Result key</t>
        </is>
      </c>
      <c r="B31" s="8" t="inlineStr">
        <is>
          <t>Support</t>
        </is>
      </c>
      <c r="C31" s="8" t="inlineStr">
        <is>
          <t>Component</t>
        </is>
      </c>
      <c r="D31" s="8" t="inlineStr">
        <is>
          <t>Value</t>
        </is>
      </c>
      <c r="E31" s="8" t="inlineStr">
        <is>
          <t>Unit</t>
        </is>
      </c>
      <c r="F31" s="8" t="inlineStr">
        <is>
          <t>From</t>
        </is>
      </c>
    </row>
    <row r="32">
      <c r="A32" s="7" t="inlineStr">
        <is>
          <t>key (reaction.&lt;entity&gt;.&lt;component&gt;)</t>
        </is>
      </c>
      <c r="B32" s="7" t="inlineStr">
        <is>
          <t>entity</t>
        </is>
      </c>
      <c r="C32" s="7" t="inlineStr">
        <is>
          <t>component</t>
        </is>
      </c>
      <c r="D32" s="7" t="inlineStr">
        <is>
          <t>value (kN or kNm, see unit)</t>
        </is>
      </c>
      <c r="E32" s="7" t="inlineStr">
        <is>
          <t>unit</t>
        </is>
      </c>
      <c r="F32" s="7" t="inlineStr">
        <is>
          <t>source</t>
        </is>
      </c>
    </row>
    <row r="33">
      <c r="A33" t="inlineStr">
        <is>
          <t>reaction.heel_point.fx</t>
        </is>
      </c>
      <c r="B33" t="inlineStr">
        <is>
          <t>heel_point</t>
        </is>
      </c>
      <c r="C33" t="inlineStr">
        <is>
          <t>fx</t>
        </is>
      </c>
      <c r="D33" s="3">
        <f>IF(Results!$B$12&lt;&gt;1,Results!$B$13,Statics!$H$35)</f>
        <v/>
      </c>
      <c r="E33" t="inlineStr">
        <is>
          <t>kN</t>
        </is>
      </c>
      <c r="F33" t="inlineStr">
        <is>
          <t>Statics Hx</t>
        </is>
      </c>
    </row>
    <row r="34">
      <c r="A34" t="inlineStr">
        <is>
          <t>reaction.heel_point.fz</t>
        </is>
      </c>
      <c r="B34" t="inlineStr">
        <is>
          <t>heel_point</t>
        </is>
      </c>
      <c r="C34" t="inlineStr">
        <is>
          <t>fz</t>
        </is>
      </c>
      <c r="D34" s="3">
        <f>IF(Results!$B$12&lt;&gt;1,Results!$B$13,Statics!$H$36)</f>
        <v/>
      </c>
      <c r="E34" t="inlineStr">
        <is>
          <t>kN</t>
        </is>
      </c>
      <c r="F34" t="inlineStr">
        <is>
          <t>Statics Hz</t>
        </is>
      </c>
    </row>
    <row r="35">
      <c r="A35" t="inlineStr">
        <is>
          <t>reaction.heel_point.resultant</t>
        </is>
      </c>
      <c r="B35" t="inlineStr">
        <is>
          <t>heel_point</t>
        </is>
      </c>
      <c r="C35" t="inlineStr">
        <is>
          <t>resultant</t>
        </is>
      </c>
      <c r="D35" s="3">
        <f>IF(Results!$B$12&lt;&gt;1,Results!$B$13,SQRT(Statics!$H$35^2+Statics!$H$36^2))</f>
        <v/>
      </c>
      <c r="E35" t="inlineStr">
        <is>
          <t>kN</t>
        </is>
      </c>
      <c r="F35" t="inlineStr">
        <is>
          <t>sqrt(Fx^2 + Fz^2)</t>
        </is>
      </c>
    </row>
    <row r="36">
      <c r="A36" t="inlineStr">
        <is>
          <t>reaction.front_hinge.fx</t>
        </is>
      </c>
      <c r="B36" t="inlineStr">
        <is>
          <t>front_hinge</t>
        </is>
      </c>
      <c r="C36" t="inlineStr">
        <is>
          <t>fx</t>
        </is>
      </c>
      <c r="D36" s="3">
        <f>IF(Results!$B$12&lt;&gt;1,Results!$B$13,Statics!$K$55)</f>
        <v/>
      </c>
      <c r="E36" t="inlineStr">
        <is>
          <t>kN</t>
        </is>
      </c>
      <c r="F36" t="inlineStr">
        <is>
          <t>Statics R_fb_x</t>
        </is>
      </c>
    </row>
    <row r="37">
      <c r="A37" t="inlineStr">
        <is>
          <t>reaction.front_hinge.fz</t>
        </is>
      </c>
      <c r="B37" t="inlineStr">
        <is>
          <t>front_hinge</t>
        </is>
      </c>
      <c r="C37" t="inlineStr">
        <is>
          <t>fz</t>
        </is>
      </c>
      <c r="D37" s="3">
        <f>IF(Results!$B$12&lt;&gt;1,Results!$B$13,Statics!$K$56)</f>
        <v/>
      </c>
      <c r="E37" t="inlineStr">
        <is>
          <t>kN</t>
        </is>
      </c>
      <c r="F37" t="inlineStr">
        <is>
          <t>Statics R_fb_z</t>
        </is>
      </c>
    </row>
    <row r="38">
      <c r="A38" t="inlineStr">
        <is>
          <t>reaction.front_hinge.resultant</t>
        </is>
      </c>
      <c r="B38" t="inlineStr">
        <is>
          <t>front_hinge</t>
        </is>
      </c>
      <c r="C38" t="inlineStr">
        <is>
          <t>resultant</t>
        </is>
      </c>
      <c r="D38" s="3">
        <f>IF(Results!$B$12&lt;&gt;1,Results!$B$13,SQRT(Statics!$K$55^2+Statics!$K$56^2))</f>
        <v/>
      </c>
      <c r="E38" t="inlineStr">
        <is>
          <t>kN</t>
        </is>
      </c>
      <c r="F38" t="inlineStr">
        <is>
          <t>sqrt(Fx^2 + Fz^2)</t>
        </is>
      </c>
    </row>
    <row r="39">
      <c r="A39" t="inlineStr">
        <is>
          <t>reaction.front_hinge.leg_axial</t>
        </is>
      </c>
      <c r="B39" t="inlineStr">
        <is>
          <t>front_hinge</t>
        </is>
      </c>
      <c r="C39" t="inlineStr">
        <is>
          <t>leg_axial</t>
        </is>
      </c>
      <c r="D39" s="3">
        <f>IF(Results!$B$12&lt;&gt;1,Results!$B$13,IF(Statics!$B$83=1,Statics!$K$55*Statics!$B$81+Statics!$K$56*Statics!$B$82,"n/a (zero-length leg)"))</f>
        <v/>
      </c>
      <c r="E39" t="inlineStr">
        <is>
          <t>kN</t>
        </is>
      </c>
      <c r="F39" t="inlineStr">
        <is>
          <t>Fx ux + Fz uz, front_base -&gt; front_top</t>
        </is>
      </c>
    </row>
    <row r="40">
      <c r="A40" t="inlineStr">
        <is>
          <t>reaction.front_hinge.leg_normal</t>
        </is>
      </c>
      <c r="B40" t="inlineStr">
        <is>
          <t>front_hinge</t>
        </is>
      </c>
      <c r="C40" t="inlineStr">
        <is>
          <t>leg_normal</t>
        </is>
      </c>
      <c r="D40" s="3">
        <f>IF(Results!$B$12&lt;&gt;1,Results!$B$13,IF(Statics!$B$83=1,-Statics!$K$55*Statics!$B$82+Statics!$K$56*Statics!$B$81,"n/a (zero-length leg)"))</f>
        <v/>
      </c>
      <c r="E40" t="inlineStr">
        <is>
          <t>kN</t>
        </is>
      </c>
      <c r="F40" t="inlineStr">
        <is>
          <t>-Fx uz + Fz ux</t>
        </is>
      </c>
    </row>
    <row r="41">
      <c r="A41" t="inlineStr">
        <is>
          <t>reaction.rear_hinge.fx</t>
        </is>
      </c>
      <c r="B41" t="inlineStr">
        <is>
          <t>rear_hinge</t>
        </is>
      </c>
      <c r="C41" t="inlineStr">
        <is>
          <t>fx</t>
        </is>
      </c>
      <c r="D41" s="3">
        <f>IF(Results!$B$12&lt;&gt;1,Results!$B$13,Statics!$K$53)</f>
        <v/>
      </c>
      <c r="E41" t="inlineStr">
        <is>
          <t>kN</t>
        </is>
      </c>
      <c r="F41" t="inlineStr">
        <is>
          <t>Statics R_rb_x</t>
        </is>
      </c>
    </row>
    <row r="42">
      <c r="A42" t="inlineStr">
        <is>
          <t>reaction.rear_hinge.fz</t>
        </is>
      </c>
      <c r="B42" t="inlineStr">
        <is>
          <t>rear_hinge</t>
        </is>
      </c>
      <c r="C42" t="inlineStr">
        <is>
          <t>fz</t>
        </is>
      </c>
      <c r="D42" s="3">
        <f>IF(Results!$B$12&lt;&gt;1,Results!$B$13,Statics!$K$54)</f>
        <v/>
      </c>
      <c r="E42" t="inlineStr">
        <is>
          <t>kN</t>
        </is>
      </c>
      <c r="F42" t="inlineStr">
        <is>
          <t>Statics R_rb_z</t>
        </is>
      </c>
    </row>
    <row r="43">
      <c r="A43" t="inlineStr">
        <is>
          <t>reaction.rear_hinge.resultant</t>
        </is>
      </c>
      <c r="B43" t="inlineStr">
        <is>
          <t>rear_hinge</t>
        </is>
      </c>
      <c r="C43" t="inlineStr">
        <is>
          <t>resultant</t>
        </is>
      </c>
      <c r="D43" s="3">
        <f>IF(Results!$B$12&lt;&gt;1,Results!$B$13,SQRT(Statics!$K$53^2+Statics!$K$54^2))</f>
        <v/>
      </c>
      <c r="E43" t="inlineStr">
        <is>
          <t>kN</t>
        </is>
      </c>
      <c r="F43" t="inlineStr">
        <is>
          <t>sqrt(Fx^2 + Fz^2)</t>
        </is>
      </c>
    </row>
    <row r="44">
      <c r="A44" t="inlineStr">
        <is>
          <t>reaction.rear_hinge.leg_axial</t>
        </is>
      </c>
      <c r="B44" t="inlineStr">
        <is>
          <t>rear_hinge</t>
        </is>
      </c>
      <c r="C44" t="inlineStr">
        <is>
          <t>leg_axial</t>
        </is>
      </c>
      <c r="D44" s="3">
        <f>IF(Results!$B$12&lt;&gt;1,Results!$B$13,IF(Statics!$B$79=1,Statics!$K$53*Statics!$B$77+Statics!$K$54*Statics!$B$78,"n/a (zero-length leg)"))</f>
        <v/>
      </c>
      <c r="E44" t="inlineStr">
        <is>
          <t>kN</t>
        </is>
      </c>
      <c r="F44" t="inlineStr">
        <is>
          <t>Fx ux + Fz uz, rear_base -&gt; rear_top</t>
        </is>
      </c>
    </row>
    <row r="45">
      <c r="A45" t="inlineStr">
        <is>
          <t>reaction.rear_hinge.leg_normal</t>
        </is>
      </c>
      <c r="B45" t="inlineStr">
        <is>
          <t>rear_hinge</t>
        </is>
      </c>
      <c r="C45" t="inlineStr">
        <is>
          <t>leg_normal</t>
        </is>
      </c>
      <c r="D45" s="3">
        <f>IF(Results!$B$12&lt;&gt;1,Results!$B$13,IF(Statics!$B$79=1,-Statics!$K$53*Statics!$B$78+Statics!$K$54*Statics!$B$77,"n/a (zero-length leg)"))</f>
        <v/>
      </c>
      <c r="E45" t="inlineStr">
        <is>
          <t>kN</t>
        </is>
      </c>
      <c r="F45" t="inlineStr">
        <is>
          <t>-Fx uz + Fz ux</t>
        </is>
      </c>
    </row>
    <row r="46">
      <c r="A46" t="inlineStr">
        <is>
          <t>reaction.upper_hinge.fx</t>
        </is>
      </c>
      <c r="B46" t="inlineStr">
        <is>
          <t>upper_hinge</t>
        </is>
      </c>
      <c r="C46" t="inlineStr">
        <is>
          <t>fx</t>
        </is>
      </c>
      <c r="D46" s="3">
        <f>IF(Results!$B$12&lt;&gt;1,Results!$B$13,Statics!$K$57)</f>
        <v/>
      </c>
      <c r="E46" t="inlineStr">
        <is>
          <t>kN</t>
        </is>
      </c>
      <c r="F46" t="inlineStr">
        <is>
          <t>Statics R_top_x</t>
        </is>
      </c>
    </row>
    <row r="47">
      <c r="A47" t="inlineStr">
        <is>
          <t>reaction.upper_hinge.fz</t>
        </is>
      </c>
      <c r="B47" t="inlineStr">
        <is>
          <t>upper_hinge</t>
        </is>
      </c>
      <c r="C47" t="inlineStr">
        <is>
          <t>fz</t>
        </is>
      </c>
      <c r="D47" s="3">
        <f>IF(Results!$B$12&lt;&gt;1,Results!$B$13,Statics!$K$58)</f>
        <v/>
      </c>
      <c r="E47" t="inlineStr">
        <is>
          <t>kN</t>
        </is>
      </c>
      <c r="F47" t="inlineStr">
        <is>
          <t>Statics R_top_z</t>
        </is>
      </c>
    </row>
    <row r="48">
      <c r="A48" t="inlineStr">
        <is>
          <t>reaction.upper_hinge.resultant</t>
        </is>
      </c>
      <c r="B48" t="inlineStr">
        <is>
          <t>upper_hinge</t>
        </is>
      </c>
      <c r="C48" t="inlineStr">
        <is>
          <t>resultant</t>
        </is>
      </c>
      <c r="D48" s="3">
        <f>IF(Results!$B$12&lt;&gt;1,Results!$B$13,SQRT(Statics!$K$57^2+Statics!$K$58^2))</f>
        <v/>
      </c>
      <c r="E48" t="inlineStr">
        <is>
          <t>kN</t>
        </is>
      </c>
      <c r="F48" t="inlineStr">
        <is>
          <t>sqrt(Fx^2 + Fz^2)</t>
        </is>
      </c>
    </row>
    <row r="49">
      <c r="A49" t="inlineStr">
        <is>
          <t>reaction.platform_base.fx</t>
        </is>
      </c>
      <c r="B49" t="inlineStr">
        <is>
          <t>platform_base</t>
        </is>
      </c>
      <c r="C49" t="inlineStr">
        <is>
          <t>fx</t>
        </is>
      </c>
      <c r="D49" s="3">
        <f>IF(Results!$B$12&lt;&gt;1,Results!$B$13,Statics!$B$71)</f>
        <v/>
      </c>
      <c r="E49" t="inlineStr">
        <is>
          <t>kN</t>
        </is>
      </c>
      <c r="F49" t="inlineStr">
        <is>
          <t>Statics r_g_x</t>
        </is>
      </c>
    </row>
    <row r="50">
      <c r="A50" t="inlineStr">
        <is>
          <t>reaction.platform_base.fz</t>
        </is>
      </c>
      <c r="B50" t="inlineStr">
        <is>
          <t>platform_base</t>
        </is>
      </c>
      <c r="C50" t="inlineStr">
        <is>
          <t>fz</t>
        </is>
      </c>
      <c r="D50" s="3">
        <f>IF(Results!$B$12&lt;&gt;1,Results!$B$13,Statics!$B$72)</f>
        <v/>
      </c>
      <c r="E50" t="inlineStr">
        <is>
          <t>kN</t>
        </is>
      </c>
      <c r="F50" t="inlineStr">
        <is>
          <t>Statics r_g_z</t>
        </is>
      </c>
    </row>
    <row r="51">
      <c r="A51" t="inlineStr">
        <is>
          <t>reaction.platform_base.my</t>
        </is>
      </c>
      <c r="B51" t="inlineStr">
        <is>
          <t>platform_base</t>
        </is>
      </c>
      <c r="C51" t="inlineStr">
        <is>
          <t>my</t>
        </is>
      </c>
      <c r="D51" s="3">
        <f>IF(Results!$B$12&lt;&gt;1,Results!$B$13,Statics!$B$73)</f>
        <v/>
      </c>
      <c r="E51" t="inlineStr">
        <is>
          <t>kNm</t>
        </is>
      </c>
      <c r="F51" t="inlineStr">
        <is>
          <t>Statics m_g (in-plane base moment)</t>
        </is>
      </c>
    </row>
    <row r="52">
      <c r="A52" t="inlineStr">
        <is>
          <t>reaction.heel_left.fx</t>
        </is>
      </c>
      <c r="B52" t="inlineStr">
        <is>
          <t>heel_left</t>
        </is>
      </c>
      <c r="C52" t="inlineStr">
        <is>
          <t>fx</t>
        </is>
      </c>
      <c r="D52" s="3">
        <f>IF(Results!$B$12&lt;&gt;1,Results!$B$13,OutOfPlane!$I$227)</f>
        <v/>
      </c>
      <c r="E52" t="inlineStr">
        <is>
          <t>kN</t>
        </is>
      </c>
      <c r="F52" t="inlineStr">
        <is>
          <t>OutOfPlane split: 0.5 Hx + Mz_heel / width</t>
        </is>
      </c>
    </row>
    <row r="53">
      <c r="A53" t="inlineStr">
        <is>
          <t>reaction.heel_left.fz</t>
        </is>
      </c>
      <c r="B53" t="inlineStr">
        <is>
          <t>heel_left</t>
        </is>
      </c>
      <c r="C53" t="inlineStr">
        <is>
          <t>fz</t>
        </is>
      </c>
      <c r="D53" s="3">
        <f>IF(Results!$B$12&lt;&gt;1,Results!$B$13,OutOfPlane!$J$227)</f>
        <v/>
      </c>
      <c r="E53" t="inlineStr">
        <is>
          <t>kN</t>
        </is>
      </c>
      <c r="F53" t="inlineStr">
        <is>
          <t>OutOfPlane split: 0.5 Hz + Mx_heel / width</t>
        </is>
      </c>
    </row>
    <row r="54">
      <c r="A54" t="inlineStr">
        <is>
          <t>reaction.heel_left.resultant</t>
        </is>
      </c>
      <c r="B54" t="inlineStr">
        <is>
          <t>heel_left</t>
        </is>
      </c>
      <c r="C54" t="inlineStr">
        <is>
          <t>resultant</t>
        </is>
      </c>
      <c r="D54" s="3">
        <f>IF(Results!$B$12&lt;&gt;1,Results!$B$13,SQRT(OutOfPlane!$I$227^2+OutOfPlane!$J$227^2))</f>
        <v/>
      </c>
      <c r="E54" t="inlineStr">
        <is>
          <t>kN</t>
        </is>
      </c>
      <c r="F54" t="inlineStr">
        <is>
          <t>sqrt(Fx^2 + Fz^2)</t>
        </is>
      </c>
    </row>
    <row r="55">
      <c r="A55" t="inlineStr">
        <is>
          <t>reaction.heel_right.fx</t>
        </is>
      </c>
      <c r="B55" t="inlineStr">
        <is>
          <t>heel_right</t>
        </is>
      </c>
      <c r="C55" t="inlineStr">
        <is>
          <t>fx</t>
        </is>
      </c>
      <c r="D55" s="3">
        <f>IF(Results!$B$12&lt;&gt;1,Results!$B$13,OutOfPlane!$I$228)</f>
        <v/>
      </c>
      <c r="E55" t="inlineStr">
        <is>
          <t>kN</t>
        </is>
      </c>
      <c r="F55" t="inlineStr">
        <is>
          <t>OutOfPlane split: 0.5 Hx - Mz_heel / width</t>
        </is>
      </c>
    </row>
    <row r="56">
      <c r="A56" t="inlineStr">
        <is>
          <t>reaction.heel_right.fz</t>
        </is>
      </c>
      <c r="B56" t="inlineStr">
        <is>
          <t>heel_right</t>
        </is>
      </c>
      <c r="C56" t="inlineStr">
        <is>
          <t>fz</t>
        </is>
      </c>
      <c r="D56" s="3">
        <f>IF(Results!$B$12&lt;&gt;1,Results!$B$13,OutOfPlane!$J$228)</f>
        <v/>
      </c>
      <c r="E56" t="inlineStr">
        <is>
          <t>kN</t>
        </is>
      </c>
      <c r="F56" t="inlineStr">
        <is>
          <t>OutOfPlane split: 0.5 Hz - Mx_heel / width</t>
        </is>
      </c>
    </row>
    <row r="57">
      <c r="A57" t="inlineStr">
        <is>
          <t>reaction.heel_right.resultant</t>
        </is>
      </c>
      <c r="B57" t="inlineStr">
        <is>
          <t>heel_right</t>
        </is>
      </c>
      <c r="C57" t="inlineStr">
        <is>
          <t>resultant</t>
        </is>
      </c>
      <c r="D57" s="3">
        <f>IF(Results!$B$12&lt;&gt;1,Results!$B$13,SQRT(OutOfPlane!$I$228^2+OutOfPlane!$J$228^2))</f>
        <v/>
      </c>
      <c r="E57" t="inlineStr">
        <is>
          <t>kN</t>
        </is>
      </c>
      <c r="F57" t="inlineStr">
        <is>
          <t>sqrt(Fx^2 + Fz^2)</t>
        </is>
      </c>
    </row>
    <row r="58">
      <c r="A58" t="inlineStr">
        <is>
          <t>reaction.platform_base.fy</t>
        </is>
      </c>
      <c r="B58" t="inlineStr">
        <is>
          <t>platform_base</t>
        </is>
      </c>
      <c r="C58" t="inlineStr">
        <is>
          <t>fy</t>
        </is>
      </c>
      <c r="D58" s="3">
        <f>IF(Results!$B$12&lt;&gt;1,Results!$B$13,OutOfPlane!$B$241)</f>
        <v/>
      </c>
      <c r="E58" t="inlineStr">
        <is>
          <t>kN</t>
        </is>
      </c>
      <c r="F58" t="inlineStr">
        <is>
          <t>OutOfPlane: sum of applied Fy (load sign)</t>
        </is>
      </c>
    </row>
    <row r="59">
      <c r="A59" t="inlineStr">
        <is>
          <t>reaction.platform_base.mx</t>
        </is>
      </c>
      <c r="B59" t="inlineStr">
        <is>
          <t>platform_base</t>
        </is>
      </c>
      <c r="C59" t="inlineStr">
        <is>
          <t>mx</t>
        </is>
      </c>
      <c r="D59" s="3">
        <f>IF(Results!$B$12&lt;&gt;1,Results!$B$13,OutOfPlane!$B$242)</f>
        <v/>
      </c>
      <c r="E59" t="inlineStr">
        <is>
          <t>kNm</t>
        </is>
      </c>
      <c r="F59" t="inlineStr">
        <is>
          <t>OutOfPlane: applied Mx about platform_heel (load sign)</t>
        </is>
      </c>
    </row>
    <row r="60">
      <c r="A60" t="inlineStr">
        <is>
          <t>reaction.platform_base.fradial</t>
        </is>
      </c>
      <c r="B60" t="inlineStr">
        <is>
          <t>platform_base</t>
        </is>
      </c>
      <c r="C60" t="inlineStr">
        <is>
          <t>fradial</t>
        </is>
      </c>
      <c r="D60" s="3">
        <f>IF(Results!$B$12&lt;&gt;1,Results!$B$13,SQRT(Statics!$B$71^2+OutOfPlane!$B$241^2))</f>
        <v/>
      </c>
      <c r="E60" t="inlineStr">
        <is>
          <t>kN</t>
        </is>
      </c>
      <c r="F60" t="inlineStr">
        <is>
          <t>sqrt(Fx^2 + Fy^2)</t>
        </is>
      </c>
    </row>
    <row r="61">
      <c r="A61" t="inlineStr">
        <is>
          <t>reaction.platform_base.mradial</t>
        </is>
      </c>
      <c r="B61" t="inlineStr">
        <is>
          <t>platform_base</t>
        </is>
      </c>
      <c r="C61" t="inlineStr">
        <is>
          <t>mradial</t>
        </is>
      </c>
      <c r="D61" s="3">
        <f>IF(Results!$B$12&lt;&gt;1,Results!$B$13,SQRT(OutOfPlane!$B$242^2+Statics!$B$73^2))</f>
        <v/>
      </c>
      <c r="E61" t="inlineStr">
        <is>
          <t>kNm</t>
        </is>
      </c>
      <c r="F61" t="inlineStr">
        <is>
          <t>sqrt(Mx^2 + My^2)</t>
        </is>
      </c>
    </row>
    <row r="62">
      <c r="A62" t="inlineStr">
        <is>
          <t>reaction.platform_base.max_bearing_line_load</t>
        </is>
      </c>
      <c r="B62" t="inlineStr">
        <is>
          <t>platform_base</t>
        </is>
      </c>
      <c r="C62" t="inlineStr">
        <is>
          <t>max_bearing_line_load</t>
        </is>
      </c>
      <c r="D62" s="3">
        <f>IF(Results!$B$12&lt;&gt;1,Results!$B$13,IF(OutOfPlane!$B$23=1,Statics!$B$72/(PI()*OutOfPlane!$B$22)+4*SQRT(OutOfPlane!$B$242^2+Statics!$B$73^2)/(PI()*OutOfPlane!$B$22^2),"n/a (no bearing diameter)"))</f>
        <v/>
      </c>
      <c r="E62" t="inlineStr">
        <is>
          <t>kN/m</t>
        </is>
      </c>
      <c r="F62" t="inlineStr">
        <is>
          <t>Fz/(pi D) + 4 mradial/(pi D^2)</t>
        </is>
      </c>
    </row>
    <row r="63">
      <c r="A63" t="inlineStr">
        <is>
          <t>reaction.platform_base.min_bearing_line_load</t>
        </is>
      </c>
      <c r="B63" t="inlineStr">
        <is>
          <t>platform_base</t>
        </is>
      </c>
      <c r="C63" t="inlineStr">
        <is>
          <t>min_bearing_line_load</t>
        </is>
      </c>
      <c r="D63" s="3">
        <f>IF(Results!$B$12&lt;&gt;1,Results!$B$13,IF(OutOfPlane!$B$23=1,MAX(0,4*SQRT(OutOfPlane!$B$242^2+Statics!$B$73^2)/(PI()*OutOfPlane!$B$22^2)-Statics!$B$72/(PI()*OutOfPlane!$B$22)),"n/a (no bearing diameter)"))</f>
        <v/>
      </c>
      <c r="E63" t="inlineStr">
        <is>
          <t>kN/m</t>
        </is>
      </c>
      <c r="F63" t="inlineStr">
        <is>
          <t>max(0, 4 mradial/(pi D^2) - Fz/(pi D)): uplift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90" customWidth="1" min="2" max="2"/>
    <col width="10" customWidth="1" min="3" max="3"/>
    <col width="16" customWidth="1" min="4" max="4"/>
  </cols>
  <sheetData>
    <row r="1">
      <c r="A1" s="1" t="inlineStr">
        <is>
          <t>Checks -- every count must be 0</t>
        </is>
      </c>
    </row>
    <row r="3">
      <c r="B3" s="10" t="inlineStr">
        <is>
          <t>Total issues</t>
        </is>
      </c>
      <c r="C3" s="3">
        <f>SUM(C6:C20)</f>
        <v/>
      </c>
      <c r="D3" s="3">
        <f>IF(C3=0,"OK","CHECK INPUTS")</f>
        <v/>
      </c>
    </row>
    <row r="5">
      <c r="A5" s="8" t="inlineStr">
        <is>
          <t>Check</t>
        </is>
      </c>
      <c r="B5" s="8" t="inlineStr">
        <is>
          <t>Description</t>
        </is>
      </c>
      <c r="C5" s="8" t="inlineStr">
        <is>
          <t>Count</t>
        </is>
      </c>
      <c r="D5" s="8" t="inlineStr">
        <is>
          <t>Status</t>
        </is>
      </c>
    </row>
    <row r="6">
      <c r="A6" t="inlineStr">
        <is>
          <t>overflow</t>
        </is>
      </c>
      <c r="B6" t="inlineStr">
        <is>
          <t>Rows that do not fit a table (generator) or typed into a guard row</t>
        </is>
      </c>
      <c r="C6" s="3">
        <f>SUM($D$25:$D$30)</f>
        <v/>
      </c>
      <c r="D6" s="3">
        <f>IF(C6=0,"OK","CHECK")</f>
        <v/>
      </c>
    </row>
    <row r="7">
      <c r="A7" t="inlineStr">
        <is>
          <t>duplicate_ids</t>
        </is>
      </c>
      <c r="B7" t="inlineStr">
        <is>
          <t>Active rows whose id is used by another active row of the same table</t>
        </is>
      </c>
      <c r="C7" s="3">
        <f>SUMPRODUCT((Inputs!$A$46:$A$85=1)*(Inputs!$B$46:$B$85&lt;&gt;"")*(COUNTIFS(Inputs!$B$46:$B$85,Inputs!$B$46:$B$85,Inputs!$A$46:$A$85,1)&gt;1))+SUMPRODUCT((Inputs!$A$92:$A$131=1)*(Inputs!$B$92:$B$131&lt;&gt;"")*(COUNTIFS(Inputs!$B$92:$B$131,Inputs!$B$92:$B$131,Inputs!$A$92:$A$131,1)&gt;1))+SUMPRODUCT((Inputs!$A$138:$A$217=1)*(Inputs!$B$138:$B$217&lt;&gt;"")*(COUNTIFS(Inputs!$B$138:$B$217,Inputs!$B$138:$B$217,Inputs!$A$138:$A$217,1)&gt;1))+SUMPRODUCT((Inputs!$A$290:$A$297=1)*(Inputs!$B$290:$B$297&lt;&gt;"")*(COUNTIFS(Inputs!$B$290:$B$297,Inputs!$B$290:$B$297,Inputs!$A$290:$A$297,1)&gt;1))+SUMPRODUCT((Inputs!$A$304:$A$311=1)*(Inputs!$B$304:$B$311&lt;&gt;"")*(COUNTIFS(Inputs!$B$304:$B$311,Inputs!$B$304:$B$311,Inputs!$A$304:$A$311,1)&gt;1))</f>
        <v/>
      </c>
      <c r="D7" s="3">
        <f>IF(C7=0,"OK","CHECK")</f>
        <v/>
      </c>
    </row>
    <row r="8">
      <c r="A8" t="inlineStr">
        <is>
          <t>blank_ids</t>
        </is>
      </c>
      <c r="B8" t="inlineStr">
        <is>
          <t>Active rows with a blank id (or blank rope id on a segment)</t>
        </is>
      </c>
      <c r="C8" s="3">
        <f>SUMPRODUCT((Inputs!$A$46:$A$85=1)*(Inputs!$B$46:$B$85=""))+SUMPRODUCT((Inputs!$A$92:$A$131=1)*(Inputs!$B$92:$B$131=""))+SUMPRODUCT((Inputs!$A$138:$A$217=1)*(Inputs!$B$138:$B$217=""))+SUMPRODUCT((Inputs!$A$290:$A$297=1)*(Inputs!$B$290:$B$297=""))+SUMPRODUCT((Inputs!$A$304:$A$311=1)*(Inputs!$B$304:$B$311=""))+SUMPRODUCT((Inputs!$A$224:$A$283=1)*(Inputs!$B$224:$B$283=""))</f>
        <v/>
      </c>
      <c r="D8" s="3">
        <f>IF(C8=0,"OK","CHECK")</f>
        <v/>
      </c>
    </row>
    <row r="9">
      <c r="A9" t="inlineStr">
        <is>
          <t>node_references</t>
        </is>
      </c>
      <c r="B9" t="inlineStr">
        <is>
          <t>References to a missing or inactive node (segment ends, hoist hook/support nodes, hanging nodes' parent)</t>
        </is>
      </c>
      <c r="C9" s="3">
        <f>SUMPRODUCT((Inputs!$A$224:$A$283=1)*(COUNTIFS(Inputs!$B$138:$B$217,Inputs!$C$224:$C$283,Inputs!$A$138:$A$217,1)=0))+SUMPRODUCT((Inputs!$A$224:$A$283=1)*(COUNTIFS(Inputs!$B$138:$B$217,Inputs!$D$224:$D$283,Inputs!$A$138:$A$217,1)=0))+SUMPRODUCT((Inputs!$A$304:$A$311=1)*(COUNTIFS(Inputs!$B$138:$B$217,Inputs!$D$304:$D$311,Inputs!$A$138:$A$217,1)=0))+SUMPRODUCT((Inputs!$A$304:$A$311=1)*(Inputs!$E$304:$E$311&lt;&gt;"")*(COUNTIFS(Inputs!$B$138:$B$217,Inputs!$E$304:$E$311,Inputs!$A$138:$A$217,1)=0))+SUMPRODUCT((Inputs!$A$138:$A$217=1)*(Inputs!$D$138:$D$217="hanging")*(COUNTIFS(Inputs!$B$138:$B$217,Inputs!$I$138:$I$217,Inputs!$A$138:$A$217,1)=0))</f>
        <v/>
      </c>
      <c r="D9" s="3">
        <f>IF(C9=0,"OK","CHECK")</f>
        <v/>
      </c>
    </row>
    <row r="10">
      <c r="A10" t="inlineStr">
        <is>
          <t>rope_references</t>
        </is>
      </c>
      <c r="B10" t="inlineStr">
        <is>
          <t>Segments or hoists referencing a missing or inactive rope</t>
        </is>
      </c>
      <c r="C10" s="3">
        <f>SUMPRODUCT((Inputs!$A$224:$A$283=1)*(COUNTIFS(Inputs!$B$290:$B$297,Inputs!$B$224:$B$283,Inputs!$A$290:$A$297,1)=0))+SUMPRODUCT((Inputs!$A$304:$A$311=1)*(COUNTIFS(Inputs!$B$290:$B$297,Inputs!$C$304:$C$311,Inputs!$A$290:$A$297,1)=0))</f>
        <v/>
      </c>
      <c r="D10" s="3">
        <f>IF(C10=0,"OK","CHECK")</f>
        <v/>
      </c>
    </row>
    <row r="11">
      <c r="A11" t="inlineStr">
        <is>
          <t>hoist_without_segments</t>
        </is>
      </c>
      <c r="B11" t="inlineStr">
        <is>
          <t>Active hoists whose rope has no active segment</t>
        </is>
      </c>
      <c r="C11" s="3">
        <f>SUMPRODUCT((Inputs!$A$304:$A$311=1)*(COUNTIFS(Inputs!$B$224:$B$283,Inputs!$C$304:$C$311,Inputs!$A$224:$A$283,1)=0))</f>
        <v/>
      </c>
      <c r="D11" s="3">
        <f>IF(C11=0,"OK","CHECK")</f>
        <v/>
      </c>
    </row>
    <row r="12">
      <c r="A12" t="inlineStr">
        <is>
          <t>multiple_solve_ropes</t>
        </is>
      </c>
      <c r="B12" t="inlineStr">
        <is>
          <t>Active solve ropes beyond the first (exactly one is allowed)</t>
        </is>
      </c>
      <c r="C12" s="3">
        <f>MAX(0,COUNTIFS(Inputs!$A$290:$A$297,1,Inputs!$C$290:$C$297,"solve")-1)</f>
        <v/>
      </c>
      <c r="D12" s="3">
        <f>IF(C12=0,"OK","CHECK")</f>
        <v/>
      </c>
    </row>
    <row r="13">
      <c r="A13" t="inlineStr">
        <is>
          <t>no_solve_rope</t>
        </is>
      </c>
      <c r="B13" t="inlineStr">
        <is>
          <t>1 if no active rope has role solve (the app shows no results then)</t>
        </is>
      </c>
      <c r="C13" s="3">
        <f>IF(COUNTIFS(Inputs!$A$290:$A$297,1,Inputs!$C$290:$C$297,"solve")=0,1,0)</f>
        <v/>
      </c>
      <c r="D13" s="3">
        <f>IF(C13=0,"OK","CHECK")</f>
        <v/>
      </c>
    </row>
    <row r="14">
      <c r="A14" t="inlineStr">
        <is>
          <t>scene_hoist</t>
        </is>
      </c>
      <c r="B14" t="inlineStr">
        <is>
          <t>1 if the scene hoist is not an active hoist with a fixed rope</t>
        </is>
      </c>
      <c r="C14" s="3">
        <f>IF(COUNTIFS(Inputs!$B$304:$B$311,Inputs!$B$26,Inputs!$A$304:$A$311,1)=0,1,IF(COUNTIFS(Inputs!$B$290:$B$297,INDEX(Inputs!$C$304:$C$311,MATCH(Inputs!$B$26,Inputs!$B$304:$B$311,0)),Inputs!$A$290:$A$297,1,Inputs!$C$290:$C$297,"fixed")=0,1,0))</f>
        <v/>
      </c>
      <c r="D14" s="3">
        <f>IF(C14=0,"OK","CHECK")</f>
        <v/>
      </c>
    </row>
    <row r="15">
      <c r="A15" t="inlineStr">
        <is>
          <t>wind_direction</t>
        </is>
      </c>
      <c r="B15" t="inlineStr">
        <is>
          <t>1 if the scene wind direction is not +X, -X, +Y or -Y</t>
        </is>
      </c>
      <c r="C15" s="3">
        <f>IF(OR(Inputs!$B$33="+X",Inputs!$B$33="-X",Inputs!$B$33="+Y",Inputs!$B$33="-Y"),0,1)</f>
        <v/>
      </c>
      <c r="D15" s="3">
        <f>IF(C15=0,"OK","CHECK")</f>
        <v/>
      </c>
    </row>
    <row r="16">
      <c r="A16" t="inlineStr">
        <is>
          <t>fixed_nodes_missing</t>
        </is>
      </c>
      <c r="B16" t="inlineStr">
        <is>
          <t>Fixed structure node ids with no active node row</t>
        </is>
      </c>
      <c r="C16" s="3">
        <f>COUNTIF($B$34:$B$42,0)</f>
        <v/>
      </c>
      <c r="D16" s="3">
        <f>IF(C16=0,"OK","CHECK")</f>
        <v/>
      </c>
    </row>
    <row r="17">
      <c r="A17" t="inlineStr">
        <is>
          <t>hanging_chain</t>
        </is>
      </c>
      <c r="B17" t="inlineStr">
        <is>
          <t>Hanging nodes whose parent is itself hanging (only one level is resolved)</t>
        </is>
      </c>
      <c r="C17" s="3">
        <f>SUMPRODUCT((Inputs!$A$138:$A$217=1)*(Inputs!$D$138:$D$217="hanging")*(COUNTIFS(Inputs!$B$138:$B$217,Inputs!$I$138:$I$217,Inputs!$D$138:$D$217,"hanging",Inputs!$A$138:$A$217,1)&gt;0))</f>
        <v/>
      </c>
      <c r="D17" s="3">
        <f>IF(C17=0,"OK","CHECK")</f>
        <v/>
      </c>
    </row>
    <row r="18">
      <c r="A18" t="inlineStr">
        <is>
          <t>singular_matrix</t>
        </is>
      </c>
      <c r="B18" t="inlineStr">
        <is>
          <t>Singular Statics systems (boom 3x3, leg frame 6x6); the boom one is singular without a solve rope</t>
        </is>
      </c>
      <c r="C18" s="3">
        <f>Statics!$B$41+Statics!$B$62</f>
        <v/>
      </c>
      <c r="D18" s="3">
        <f>IF(C18=0,"OK","CHECK")</f>
        <v/>
      </c>
    </row>
    <row r="19">
      <c r="A19" t="inlineStr">
        <is>
          <t>zero_boom_width</t>
        </is>
      </c>
      <c r="B19" t="inlineStr">
        <is>
          <t>1 if the boom width is not &gt; 0 (the app rejects it; the out-of-plane split divides by it, so Results shows a message)</t>
        </is>
      </c>
      <c r="C19" s="3">
        <f>IF(OutOfPlane!$B$21=1,0,1)</f>
        <v/>
      </c>
      <c r="D19" s="3">
        <f>IF(C19=0,"OK","CHECK")</f>
        <v/>
      </c>
    </row>
    <row r="20">
      <c r="A20" t="inlineStr">
        <is>
          <t>invalid_bearing_diameter</t>
        </is>
      </c>
      <c r="B20" t="inlineStr">
        <is>
          <t>1 if the slewing bearing diameter is typed but not a number &gt; 0 (blank is allowed and hides the bearing line-load rows)</t>
        </is>
      </c>
      <c r="C20" s="3">
        <f>IF(Inputs!$B$13="",0,IF(ISNUMBER(Inputs!$B$13),IF(Inputs!$B$13&gt;0,0,1),1))</f>
        <v/>
      </c>
      <c r="D20" s="3">
        <f>IF(C20=0,"OK","CHECK")</f>
        <v/>
      </c>
    </row>
    <row r="23">
      <c r="A23" s="6" t="inlineStr">
        <is>
          <t>Overflow per table</t>
        </is>
      </c>
    </row>
    <row r="24">
      <c r="A24" s="10" t="inlineStr">
        <is>
          <t>Table</t>
        </is>
      </c>
      <c r="B24" s="10" t="inlineStr">
        <is>
          <t>Not written</t>
        </is>
      </c>
      <c r="C24" s="10" t="inlineStr">
        <is>
          <t>Typed in guard row</t>
        </is>
      </c>
      <c r="D24" s="10" t="inlineStr">
        <is>
          <t>Total</t>
        </is>
      </c>
    </row>
    <row r="25">
      <c r="A25" t="inlineStr">
        <is>
          <t>mass_points</t>
        </is>
      </c>
      <c r="B25" s="3">
        <f>Inputs!$G$43</f>
        <v/>
      </c>
      <c r="C25" s="3">
        <f>COUNTA(Inputs!$A$86:$K$86)</f>
        <v/>
      </c>
      <c r="D25" s="3">
        <f>B25+C25</f>
        <v/>
      </c>
    </row>
    <row r="26">
      <c r="A26" t="inlineStr">
        <is>
          <t>wind_areas</t>
        </is>
      </c>
      <c r="B26" s="3">
        <f>Inputs!$G$89</f>
        <v/>
      </c>
      <c r="C26" s="3">
        <f>COUNTA(Inputs!$A$132:$K$132)</f>
        <v/>
      </c>
      <c r="D26" s="3">
        <f>B26+C26</f>
        <v/>
      </c>
    </row>
    <row r="27">
      <c r="A27" t="inlineStr">
        <is>
          <t>nodes</t>
        </is>
      </c>
      <c r="B27" s="3">
        <f>Inputs!$G$135</f>
        <v/>
      </c>
      <c r="C27" s="3">
        <f>COUNTA(Inputs!$A$218:$K$218)</f>
        <v/>
      </c>
      <c r="D27" s="3">
        <f>B27+C27</f>
        <v/>
      </c>
    </row>
    <row r="28">
      <c r="A28" t="inlineStr">
        <is>
          <t>segments</t>
        </is>
      </c>
      <c r="B28" s="3">
        <f>Inputs!$G$221</f>
        <v/>
      </c>
      <c r="C28" s="3">
        <f>COUNTA(Inputs!$A$284:$E$284)</f>
        <v/>
      </c>
      <c r="D28" s="3">
        <f>B28+C28</f>
        <v/>
      </c>
    </row>
    <row r="29">
      <c r="A29" t="inlineStr">
        <is>
          <t>ropes</t>
        </is>
      </c>
      <c r="B29" s="3">
        <f>Inputs!$G$287</f>
        <v/>
      </c>
      <c r="C29" s="3">
        <f>COUNTA(Inputs!$A$298:$C$298)</f>
        <v/>
      </c>
      <c r="D29" s="3">
        <f>B29+C29</f>
        <v/>
      </c>
    </row>
    <row r="30">
      <c r="A30" t="inlineStr">
        <is>
          <t>hoists</t>
        </is>
      </c>
      <c r="B30" s="3">
        <f>Inputs!$G$301</f>
        <v/>
      </c>
      <c r="C30" s="3">
        <f>COUNTA(Inputs!$A$312:$Q$312)</f>
        <v/>
      </c>
      <c r="D30" s="3">
        <f>B30+C30</f>
        <v/>
      </c>
    </row>
    <row r="33">
      <c r="A33" s="6" t="inlineStr">
        <is>
          <t>Fixed structure nodes (active rows with this id)</t>
        </is>
      </c>
    </row>
    <row r="34">
      <c r="A34" t="inlineStr">
        <is>
          <t>boom_heel</t>
        </is>
      </c>
      <c r="B34" s="3">
        <f>COUNTIFS(Inputs!$B$138:$B$217,A34,Inputs!$A$138:$A$217,1)</f>
        <v/>
      </c>
    </row>
    <row r="35">
      <c r="A35" t="inlineStr">
        <is>
          <t>platform_heel</t>
        </is>
      </c>
      <c r="B35" s="3">
        <f>COUNTIFS(Inputs!$B$138:$B$217,A35,Inputs!$A$138:$A$217,1)</f>
        <v/>
      </c>
    </row>
    <row r="36">
      <c r="A36" t="inlineStr">
        <is>
          <t>rear_top</t>
        </is>
      </c>
      <c r="B36" s="3">
        <f>COUNTIFS(Inputs!$B$138:$B$217,A36,Inputs!$A$138:$A$217,1)</f>
        <v/>
      </c>
    </row>
    <row r="37">
      <c r="A37" t="inlineStr">
        <is>
          <t>front_top</t>
        </is>
      </c>
      <c r="B37" s="3">
        <f>COUNTIFS(Inputs!$B$138:$B$217,A37,Inputs!$A$138:$A$217,1)</f>
        <v/>
      </c>
    </row>
    <row r="38">
      <c r="A38" t="inlineStr">
        <is>
          <t>rear_base</t>
        </is>
      </c>
      <c r="B38" s="3">
        <f>COUNTIFS(Inputs!$B$138:$B$217,A38,Inputs!$A$138:$A$217,1)</f>
        <v/>
      </c>
    </row>
    <row r="39">
      <c r="A39" t="inlineStr">
        <is>
          <t>platform_rear</t>
        </is>
      </c>
      <c r="B39" s="3">
        <f>COUNTIFS(Inputs!$B$138:$B$217,A39,Inputs!$A$138:$A$217,1)</f>
        <v/>
      </c>
    </row>
    <row r="40">
      <c r="A40" t="inlineStr">
        <is>
          <t>front_base</t>
        </is>
      </c>
      <c r="B40" s="3">
        <f>COUNTIFS(Inputs!$B$138:$B$217,A40,Inputs!$A$138:$A$217,1)</f>
        <v/>
      </c>
    </row>
    <row r="41">
      <c r="A41" t="inlineStr">
        <is>
          <t>platform_front</t>
        </is>
      </c>
      <c r="B41" s="3">
        <f>COUNTIFS(Inputs!$B$138:$B$217,A41,Inputs!$A$138:$A$217,1)</f>
        <v/>
      </c>
    </row>
    <row r="42">
      <c r="A42" t="inlineStr">
        <is>
          <t>platform_base</t>
        </is>
      </c>
      <c r="B42" s="3">
        <f>COUNTIFS(Inputs!$B$138:$B$217,A42,Inputs!$A$138:$A$217,1)</f>
        <v/>
      </c>
    </row>
  </sheetData>
  <conditionalFormatting sqref="C6:C20">
    <cfRule type="cellIs" priority="1" operator="greaterThan" dxfId="0">
      <formula>0</formula>
    </cfRule>
  </conditionalFormatting>
  <conditionalFormatting sqref="C3">
    <cfRule type="cellIs" priority="1" operator="greaterThan" dxfId="0">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2026-10-25T16:11:37Z</dcterms:created>
  <dcterms:modified xsi:type="dcterms:W3CDTF">2026-10-25T16:11:37Z</dcterms:modified>
</cp:coreProperties>
</file>